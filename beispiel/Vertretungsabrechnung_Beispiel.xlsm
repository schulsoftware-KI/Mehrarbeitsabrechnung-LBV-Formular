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cfeafcae5aef467/Schuldatensensibel/Untis/Vertretungsabrechnung/"/>
    </mc:Choice>
  </mc:AlternateContent>
  <xr:revisionPtr revIDLastSave="2934" documentId="8_{A2494945-F962-47B9-A4A7-79399835BA77}" xr6:coauthVersionLast="47" xr6:coauthVersionMax="47" xr10:uidLastSave="{C809201E-076C-4D8A-A9E4-AC3C232A6871}"/>
  <bookViews>
    <workbookView xWindow="20760" yWindow="8460" windowWidth="26985" windowHeight="19575" activeTab="3" xr2:uid="{00000000-000D-0000-FFFF-FFFF00000000}"/>
  </bookViews>
  <sheets>
    <sheet name="Tabelle1" sheetId="1" r:id="rId1"/>
    <sheet name="Informationen" sheetId="5" r:id="rId2"/>
    <sheet name="Pseudonyme" sheetId="2" r:id="rId3"/>
    <sheet name="Übersicht" sheetId="3" r:id="rId4"/>
  </sheets>
  <functionGroups builtInGroupCount="19"/>
  <definedNames>
    <definedName name="_xleta.PV" hidden="1" xlm="1">#NAME?</definedName>
    <definedName name="_xleta.ROUNDUP" hidden="1" xlm="1">#NAME?</definedName>
    <definedName name="_xleta.TODAY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U3" i="3" l="1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2" i="3"/>
  <c r="B4" i="5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2" i="3"/>
</calcChain>
</file>

<file path=xl/sharedStrings.xml><?xml version="1.0" encoding="utf-8"?>
<sst xmlns="http://schemas.openxmlformats.org/spreadsheetml/2006/main" count="1167" uniqueCount="501">
  <si>
    <t>Datum</t>
  </si>
  <si>
    <t>Stunde</t>
  </si>
  <si>
    <t>Art</t>
  </si>
  <si>
    <t>Wert</t>
  </si>
  <si>
    <t>Zähler</t>
  </si>
  <si>
    <t>Fach</t>
  </si>
  <si>
    <t>Klasse(n)</t>
  </si>
  <si>
    <t>Grund</t>
  </si>
  <si>
    <t>Text</t>
  </si>
  <si>
    <t xml:space="preserve"> P</t>
  </si>
  <si>
    <t>PA-Vertr.</t>
  </si>
  <si>
    <t>Vertretung nicht zu zählen: 0</t>
  </si>
  <si>
    <t>Entfall nicht zu zählen: 0</t>
  </si>
  <si>
    <t>Bereitschaften entfallen: 0</t>
  </si>
  <si>
    <t>Pausenaufsichtsentfall: 0</t>
  </si>
  <si>
    <t>Pausenaufsichtsvertretung: 1</t>
  </si>
  <si>
    <t>Pausenaufsichten gehalten: 4</t>
  </si>
  <si>
    <t>Fr/4</t>
  </si>
  <si>
    <t xml:space="preserve"> E</t>
  </si>
  <si>
    <t>05D</t>
  </si>
  <si>
    <t>Fr/5</t>
  </si>
  <si>
    <t>09D</t>
  </si>
  <si>
    <t>PE</t>
  </si>
  <si>
    <t>-F</t>
  </si>
  <si>
    <t>06B</t>
  </si>
  <si>
    <t>Fr/3</t>
  </si>
  <si>
    <t>07D</t>
  </si>
  <si>
    <t>09B</t>
  </si>
  <si>
    <t>Pausenaufsichtsentfall: 1</t>
  </si>
  <si>
    <t>Mo/6</t>
  </si>
  <si>
    <t>Mi/2</t>
  </si>
  <si>
    <t>-B</t>
  </si>
  <si>
    <t>Vertretungsb</t>
  </si>
  <si>
    <t>VBer</t>
  </si>
  <si>
    <t>ereitschaft</t>
  </si>
  <si>
    <t>Biologie</t>
  </si>
  <si>
    <t>Mi/5</t>
  </si>
  <si>
    <t>Mi/6</t>
  </si>
  <si>
    <t>Bereitschaften entfallen: 1</t>
  </si>
  <si>
    <t>-E</t>
  </si>
  <si>
    <t>Wirtschaft</t>
  </si>
  <si>
    <t>10B</t>
  </si>
  <si>
    <t>-&gt; Entfall</t>
  </si>
  <si>
    <t>und Politik</t>
  </si>
  <si>
    <t>Erdkunde</t>
  </si>
  <si>
    <t>Mathematik</t>
  </si>
  <si>
    <t>Bereitschaften entfallen: 0 (Davon 0 im Deputat)</t>
  </si>
  <si>
    <t>Physik</t>
  </si>
  <si>
    <t>06D</t>
  </si>
  <si>
    <t>Di/5</t>
  </si>
  <si>
    <t>Do/3</t>
  </si>
  <si>
    <t>+V</t>
  </si>
  <si>
    <t>Do/4</t>
  </si>
  <si>
    <t>Französisch</t>
  </si>
  <si>
    <t>08C</t>
  </si>
  <si>
    <t>ab 7</t>
  </si>
  <si>
    <t>Entfall nicht zu zählen: 2</t>
  </si>
  <si>
    <t>Deutsch</t>
  </si>
  <si>
    <t>Mi/3</t>
  </si>
  <si>
    <t>Mi/8</t>
  </si>
  <si>
    <t>Gk1</t>
  </si>
  <si>
    <t>Do/1</t>
  </si>
  <si>
    <t>Do/2</t>
  </si>
  <si>
    <t xml:space="preserve"> V</t>
  </si>
  <si>
    <t>Vertretung</t>
  </si>
  <si>
    <t>Do/7</t>
  </si>
  <si>
    <t>Di/6</t>
  </si>
  <si>
    <t>Vertretung nicht zu zählen: 2</t>
  </si>
  <si>
    <t>Achtung!!</t>
  </si>
  <si>
    <t>Summe: 2</t>
  </si>
  <si>
    <t>08D</t>
  </si>
  <si>
    <t>Fr/1</t>
  </si>
  <si>
    <t>Fr/2</t>
  </si>
  <si>
    <t>Ergänzungss</t>
  </si>
  <si>
    <t>tunde</t>
  </si>
  <si>
    <t>Entfall nicht zu zählen: 6</t>
  </si>
  <si>
    <t>Di/4/5</t>
  </si>
  <si>
    <t>Bereitschaften genutzt: 1</t>
  </si>
  <si>
    <t>Krank</t>
  </si>
  <si>
    <t>Mi/7</t>
  </si>
  <si>
    <t>Do/6</t>
  </si>
  <si>
    <t>Name</t>
  </si>
  <si>
    <t>Pseudonym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</si>
  <si>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</si>
  <si>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</si>
  <si>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</si>
  <si>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</si>
  <si>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</si>
  <si>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</si>
  <si>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</si>
  <si>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</si>
  <si>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</si>
  <si>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</si>
  <si>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</si>
  <si>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</si>
  <si>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</si>
  <si>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</si>
  <si>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</si>
  <si>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</si>
  <si>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</si>
  <si>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</si>
  <si>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</si>
  <si>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</si>
  <si>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</si>
  <si>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</si>
  <si>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</si>
  <si>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</si>
  <si>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L25</t>
  </si>
  <si>
    <t>L26</t>
  </si>
  <si>
    <t>L27</t>
  </si>
  <si>
    <t>L28</t>
  </si>
  <si>
    <t>L29</t>
  </si>
  <si>
    <t>L30</t>
  </si>
  <si>
    <t>L31</t>
  </si>
  <si>
    <t>L32</t>
  </si>
  <si>
    <t>L33</t>
  </si>
  <si>
    <t>L34</t>
  </si>
  <si>
    <t>L35</t>
  </si>
  <si>
    <t>L36</t>
  </si>
  <si>
    <t>L37</t>
  </si>
  <si>
    <t>L38</t>
  </si>
  <si>
    <t>L39</t>
  </si>
  <si>
    <t>L40</t>
  </si>
  <si>
    <t>L41</t>
  </si>
  <si>
    <t>L42</t>
  </si>
  <si>
    <t>L43</t>
  </si>
  <si>
    <t>L44</t>
  </si>
  <si>
    <t>L45</t>
  </si>
  <si>
    <t>L46</t>
  </si>
  <si>
    <t>L47</t>
  </si>
  <si>
    <t>L48</t>
  </si>
  <si>
    <t>L49</t>
  </si>
  <si>
    <t>L50</t>
  </si>
  <si>
    <t>L51</t>
  </si>
  <si>
    <t>L52</t>
  </si>
  <si>
    <t>L53</t>
  </si>
  <si>
    <t>L54</t>
  </si>
  <si>
    <t>L55</t>
  </si>
  <si>
    <t>L56</t>
  </si>
  <si>
    <t>L57</t>
  </si>
  <si>
    <t>L58</t>
  </si>
  <si>
    <t>L59</t>
  </si>
  <si>
    <t>L60</t>
  </si>
  <si>
    <t>L61</t>
  </si>
  <si>
    <t>L62</t>
  </si>
  <si>
    <t>L63</t>
  </si>
  <si>
    <t>L64</t>
  </si>
  <si>
    <t>L65</t>
  </si>
  <si>
    <t>L66</t>
  </si>
  <si>
    <t>L67</t>
  </si>
  <si>
    <t>L68</t>
  </si>
  <si>
    <t>L69</t>
  </si>
  <si>
    <t>L70</t>
  </si>
  <si>
    <t>L71</t>
  </si>
  <si>
    <t>L72</t>
  </si>
  <si>
    <t>L73</t>
  </si>
  <si>
    <t>L74</t>
  </si>
  <si>
    <t>L75</t>
  </si>
  <si>
    <t>L76</t>
  </si>
  <si>
    <t>L77</t>
  </si>
  <si>
    <t>L78</t>
  </si>
  <si>
    <t>L79</t>
  </si>
  <si>
    <t>L80</t>
  </si>
  <si>
    <t>L81</t>
  </si>
  <si>
    <t>L82</t>
  </si>
  <si>
    <t>L83</t>
  </si>
  <si>
    <t>L84</t>
  </si>
  <si>
    <t>L85</t>
  </si>
  <si>
    <t>L86</t>
  </si>
  <si>
    <t>L87</t>
  </si>
  <si>
    <t>L88</t>
  </si>
  <si>
    <t>L89</t>
  </si>
  <si>
    <t>L90</t>
  </si>
  <si>
    <t>L91</t>
  </si>
  <si>
    <t>L92</t>
  </si>
  <si>
    <t>L93</t>
  </si>
  <si>
    <t>L94</t>
  </si>
  <si>
    <t>L95</t>
  </si>
  <si>
    <t>Summenwert</t>
  </si>
  <si>
    <t>Verlegung</t>
  </si>
  <si>
    <t>05B, 05C,</t>
  </si>
  <si>
    <t>Bereitschaften genutzt: 2</t>
  </si>
  <si>
    <t>Mo/7</t>
  </si>
  <si>
    <t>Mo/8</t>
  </si>
  <si>
    <t>Vertretungen: 5</t>
  </si>
  <si>
    <t>Klassenleitu</t>
  </si>
  <si>
    <t>ng Kl.5</t>
  </si>
  <si>
    <t>Religion</t>
  </si>
  <si>
    <t>Entfälle: 3</t>
  </si>
  <si>
    <t>Deutsch Gk1</t>
  </si>
  <si>
    <t>Kunst</t>
  </si>
  <si>
    <t>LRS Jg 5</t>
  </si>
  <si>
    <t>Pers.Nr</t>
  </si>
  <si>
    <t>Entfälle gesamt</t>
  </si>
  <si>
    <t>Vertretungen</t>
  </si>
  <si>
    <t>nicht zu zählende Entfälle</t>
  </si>
  <si>
    <t>nicht zu zählende Vertretungen</t>
  </si>
  <si>
    <t>Bagatellgrenze</t>
  </si>
  <si>
    <t>Jahreszahl</t>
  </si>
  <si>
    <t>PDF erstellen</t>
  </si>
  <si>
    <t>Aktenzeichen</t>
  </si>
  <si>
    <t>Dienststelle, Anschrift</t>
  </si>
  <si>
    <t>Bearbeiter</t>
  </si>
  <si>
    <t>Telefon</t>
  </si>
  <si>
    <t>Schulnummer</t>
  </si>
  <si>
    <t>Anzahl der Minuten je Unterrichtsstunde</t>
  </si>
  <si>
    <t>Vorname</t>
  </si>
  <si>
    <t>B</t>
  </si>
  <si>
    <t>Standardschlüssel</t>
  </si>
  <si>
    <t>Soll/Woche</t>
  </si>
  <si>
    <t>Nachname</t>
  </si>
  <si>
    <t>Status</t>
  </si>
  <si>
    <t>A</t>
  </si>
  <si>
    <r>
      <t>1</t>
    </r>
    <r>
      <rPr>
        <sz val="11"/>
        <color theme="1"/>
        <rFont val="Aptos Narrow"/>
        <family val="2"/>
        <scheme val="minor"/>
      </rPr>
      <t xml:space="preserve"> = gehobener Dienst, alle Schulformen (nicht Schl. 2/3)</t>
    </r>
  </si>
  <si>
    <r>
      <t>2</t>
    </r>
    <r>
      <rPr>
        <sz val="11"/>
        <color theme="1"/>
        <rFont val="Aptos Narrow"/>
        <family val="2"/>
        <scheme val="minor"/>
      </rPr>
      <t xml:space="preserve"> = gehobener Dienst, Eingangsamt mind. A12 + höherer Dienst GS/HS </t>
    </r>
    <r>
      <rPr>
        <i/>
        <sz val="11"/>
        <color theme="1"/>
        <rFont val="Aptos Narrow"/>
        <family val="2"/>
        <scheme val="minor"/>
      </rPr>
      <t>(Standard)</t>
    </r>
  </si>
  <si>
    <r>
      <t>3</t>
    </r>
    <r>
      <rPr>
        <sz val="11"/>
        <color theme="1"/>
        <rFont val="Aptos Narrow"/>
        <family val="2"/>
        <scheme val="minor"/>
      </rPr>
      <t xml:space="preserve"> = gehobener Dienst, Eingangsamt A13 + höherer Dienst Förder-/RS</t>
    </r>
  </si>
  <si>
    <r>
      <t>4</t>
    </r>
    <r>
      <rPr>
        <sz val="11"/>
        <color theme="1"/>
        <rFont val="Aptos Narrow"/>
        <family val="2"/>
        <scheme val="minor"/>
      </rPr>
      <t xml:space="preserve"> = höherer Dienst Gymnasium, BBS, Kollegschule, FH</t>
    </r>
  </si>
  <si>
    <t>Geburtsdatum</t>
  </si>
  <si>
    <t>Pfad zur manuell befüllten Vorlage</t>
  </si>
  <si>
    <t>Dateiname Vorlage</t>
  </si>
  <si>
    <t>Vorlage LBV Mehrarbeit</t>
  </si>
  <si>
    <t>Standardschlüssel:</t>
  </si>
  <si>
    <t>Pfad lbv_fill.exe</t>
  </si>
  <si>
    <t>Pausenaufsichten geplant: 3</t>
  </si>
  <si>
    <t>Pausenaufsichten gehalten: 6</t>
  </si>
  <si>
    <t xml:space="preserve">SMTP-Server: </t>
  </si>
  <si>
    <t>smtp.example.org</t>
  </si>
  <si>
    <t xml:space="preserve">SMTP-Port: </t>
  </si>
  <si>
    <t>Verschlüsselung:</t>
  </si>
  <si>
    <t>TLS</t>
  </si>
  <si>
    <t>Benutzername:</t>
  </si>
  <si>
    <t xml:space="preserve">Passwort: </t>
  </si>
  <si>
    <t>emailadresse</t>
  </si>
  <si>
    <t>Vertretungen / Entfälle / WertKorrektur : 2.9. - 30.9.</t>
  </si>
  <si>
    <t>2.9.</t>
  </si>
  <si>
    <t>05A</t>
  </si>
  <si>
    <t>Veranstaltung</t>
  </si>
  <si>
    <t>Biologie Gk1</t>
  </si>
  <si>
    <t>Q2</t>
  </si>
  <si>
    <t>3.9.</t>
  </si>
  <si>
    <t>Methodentrai</t>
  </si>
  <si>
    <t>ning</t>
  </si>
  <si>
    <t>05A, 05B,</t>
  </si>
  <si>
    <t>05C, 05D,</t>
  </si>
  <si>
    <t>AG7nDiDo</t>
  </si>
  <si>
    <t>4.9.</t>
  </si>
  <si>
    <t>Lehrerrat</t>
  </si>
  <si>
    <t>AG2-6</t>
  </si>
  <si>
    <t>7.9.</t>
  </si>
  <si>
    <t>Mo/2</t>
  </si>
  <si>
    <t>Mo/4</t>
  </si>
  <si>
    <t>9.9.</t>
  </si>
  <si>
    <t>Stufenfahrt Q2</t>
  </si>
  <si>
    <t>10.9.</t>
  </si>
  <si>
    <t>18.9.</t>
  </si>
  <si>
    <t>Fr/-/1</t>
  </si>
  <si>
    <t>21.9.</t>
  </si>
  <si>
    <t>28.9.</t>
  </si>
  <si>
    <t>Mo/1</t>
  </si>
  <si>
    <t>Mo/2/3</t>
  </si>
  <si>
    <t>Mo/3</t>
  </si>
  <si>
    <t>Vertretungen: 8</t>
  </si>
  <si>
    <t>Entfälle: 10</t>
  </si>
  <si>
    <t>Summe: -2</t>
  </si>
  <si>
    <t>Bereitschaften verplant: 4</t>
  </si>
  <si>
    <t>Pausenaufsichten geplant: 4</t>
  </si>
  <si>
    <t>Klassenleiterst</t>
  </si>
  <si>
    <t>unden</t>
  </si>
  <si>
    <t>Delf</t>
  </si>
  <si>
    <t>08A, 08C</t>
  </si>
  <si>
    <t>Sprachprüfu</t>
  </si>
  <si>
    <t>ng</t>
  </si>
  <si>
    <t>Nachmittags</t>
  </si>
  <si>
    <t>NB, 05A,</t>
  </si>
  <si>
    <t>betreuung</t>
  </si>
  <si>
    <t>8.9.</t>
  </si>
  <si>
    <t>06C</t>
  </si>
  <si>
    <t>11.9.</t>
  </si>
  <si>
    <t>Freigestellt</t>
  </si>
  <si>
    <t>08E</t>
  </si>
  <si>
    <t>14.9.</t>
  </si>
  <si>
    <t>Mo/5</t>
  </si>
  <si>
    <t>07C</t>
  </si>
  <si>
    <t>-&gt; 14.9. / 5</t>
  </si>
  <si>
    <t>17.9.</t>
  </si>
  <si>
    <t>23.9.</t>
  </si>
  <si>
    <t>-&gt; 23.9. / 5</t>
  </si>
  <si>
    <t>24.9.</t>
  </si>
  <si>
    <t>29.9.</t>
  </si>
  <si>
    <t>30.9.</t>
  </si>
  <si>
    <t>katholische</t>
  </si>
  <si>
    <t>07E, 07A</t>
  </si>
  <si>
    <t>Vertretungen: 4</t>
  </si>
  <si>
    <t>Vertretung nicht zu zählen: 6</t>
  </si>
  <si>
    <t>Entfälle: 9</t>
  </si>
  <si>
    <t>Summe: -5</t>
  </si>
  <si>
    <t>Bereitschaften verplant: 4 (Davon 4 im Deputat)</t>
  </si>
  <si>
    <t>Bereitschaften genutzt: 4 (Davon 4 im Deputat)</t>
  </si>
  <si>
    <t>Pausenaufsichten geplant: 5</t>
  </si>
  <si>
    <t>Do/2/3</t>
  </si>
  <si>
    <t>15.9.</t>
  </si>
  <si>
    <t>06E</t>
  </si>
  <si>
    <t>Informatik</t>
  </si>
  <si>
    <t>Outlook-Absender</t>
  </si>
  <si>
    <t>name1</t>
  </si>
  <si>
    <t>name2</t>
  </si>
  <si>
    <t>name3</t>
  </si>
  <si>
    <t>name4</t>
  </si>
  <si>
    <t>name5</t>
  </si>
  <si>
    <t>name6</t>
  </si>
  <si>
    <t>name7</t>
  </si>
  <si>
    <t>name8</t>
  </si>
  <si>
    <t>name9</t>
  </si>
  <si>
    <t>name10</t>
  </si>
  <si>
    <t>name11</t>
  </si>
  <si>
    <t>name12</t>
  </si>
  <si>
    <t>name13</t>
  </si>
  <si>
    <t>name14</t>
  </si>
  <si>
    <t>name15</t>
  </si>
  <si>
    <t>name16</t>
  </si>
  <si>
    <t>name17</t>
  </si>
  <si>
    <t>name18</t>
  </si>
  <si>
    <t>name19</t>
  </si>
  <si>
    <t>name20</t>
  </si>
  <si>
    <t>name21</t>
  </si>
  <si>
    <t>name22</t>
  </si>
  <si>
    <t>name23</t>
  </si>
  <si>
    <t>name24</t>
  </si>
  <si>
    <t>name25</t>
  </si>
  <si>
    <t>name26</t>
  </si>
  <si>
    <t>name27</t>
  </si>
  <si>
    <t>name28</t>
  </si>
  <si>
    <t>name29</t>
  </si>
  <si>
    <t>name30</t>
  </si>
  <si>
    <t>name31</t>
  </si>
  <si>
    <t>name32</t>
  </si>
  <si>
    <t>name33</t>
  </si>
  <si>
    <t>name34</t>
  </si>
  <si>
    <t>name35</t>
  </si>
  <si>
    <t>name36</t>
  </si>
  <si>
    <t>name37</t>
  </si>
  <si>
    <t>name38</t>
  </si>
  <si>
    <t>name39</t>
  </si>
  <si>
    <t>name40</t>
  </si>
  <si>
    <t>name41</t>
  </si>
  <si>
    <t>name42</t>
  </si>
  <si>
    <t>name43</t>
  </si>
  <si>
    <t>name44</t>
  </si>
  <si>
    <t>name45</t>
  </si>
  <si>
    <t>name46</t>
  </si>
  <si>
    <t>name47</t>
  </si>
  <si>
    <t>name48</t>
  </si>
  <si>
    <t>name49</t>
  </si>
  <si>
    <t>name50</t>
  </si>
  <si>
    <t>name51</t>
  </si>
  <si>
    <t>name52</t>
  </si>
  <si>
    <t>name53</t>
  </si>
  <si>
    <t>name54</t>
  </si>
  <si>
    <t>name55</t>
  </si>
  <si>
    <t>name56</t>
  </si>
  <si>
    <t>name57</t>
  </si>
  <si>
    <t>name58</t>
  </si>
  <si>
    <t>name59</t>
  </si>
  <si>
    <t>name60</t>
  </si>
  <si>
    <t>name61</t>
  </si>
  <si>
    <t>name62</t>
  </si>
  <si>
    <t>name63</t>
  </si>
  <si>
    <t>name64</t>
  </si>
  <si>
    <t>name65</t>
  </si>
  <si>
    <t>name66</t>
  </si>
  <si>
    <t>name67</t>
  </si>
  <si>
    <t>name68</t>
  </si>
  <si>
    <t>name69</t>
  </si>
  <si>
    <t>name70</t>
  </si>
  <si>
    <t>name71</t>
  </si>
  <si>
    <t>name72</t>
  </si>
  <si>
    <t>name73</t>
  </si>
  <si>
    <t>name74</t>
  </si>
  <si>
    <t>name75</t>
  </si>
  <si>
    <t>name76</t>
  </si>
  <si>
    <t>name77</t>
  </si>
  <si>
    <t>name78</t>
  </si>
  <si>
    <t>name79</t>
  </si>
  <si>
    <t>name80</t>
  </si>
  <si>
    <t>name81</t>
  </si>
  <si>
    <t>name82</t>
  </si>
  <si>
    <t>name83</t>
  </si>
  <si>
    <t>name84</t>
  </si>
  <si>
    <t>name85</t>
  </si>
  <si>
    <t>name86</t>
  </si>
  <si>
    <t>name87</t>
  </si>
  <si>
    <t>name88</t>
  </si>
  <si>
    <t>name89</t>
  </si>
  <si>
    <t>name90</t>
  </si>
  <si>
    <t>name91</t>
  </si>
  <si>
    <t>name92</t>
  </si>
  <si>
    <t>name93</t>
  </si>
  <si>
    <t>name94</t>
  </si>
  <si>
    <t>name95</t>
  </si>
  <si>
    <t>B123245</t>
  </si>
  <si>
    <t>B123246</t>
  </si>
  <si>
    <t>B123247</t>
  </si>
  <si>
    <t>B123248</t>
  </si>
  <si>
    <t>B123249</t>
  </si>
  <si>
    <t>B123250</t>
  </si>
  <si>
    <t>B123251</t>
  </si>
  <si>
    <t>B123252</t>
  </si>
  <si>
    <t>B123253</t>
  </si>
  <si>
    <t>B123254</t>
  </si>
  <si>
    <t>B123255</t>
  </si>
  <si>
    <t>B123256</t>
  </si>
  <si>
    <t>B123257</t>
  </si>
  <si>
    <t>B123258</t>
  </si>
  <si>
    <t>B123259</t>
  </si>
  <si>
    <t>B123260</t>
  </si>
  <si>
    <t>B123261</t>
  </si>
  <si>
    <t>B123262</t>
  </si>
  <si>
    <t>B123263</t>
  </si>
  <si>
    <t>B123264</t>
  </si>
  <si>
    <t>B123265</t>
  </si>
  <si>
    <t>B123266</t>
  </si>
  <si>
    <t>B123267</t>
  </si>
  <si>
    <t>B123268</t>
  </si>
  <si>
    <t>B123269</t>
  </si>
  <si>
    <t>B123270</t>
  </si>
  <si>
    <t>B123271</t>
  </si>
  <si>
    <t>B123272</t>
  </si>
  <si>
    <t>B123273</t>
  </si>
  <si>
    <t>B123274</t>
  </si>
  <si>
    <t>B123275</t>
  </si>
  <si>
    <t>B123276</t>
  </si>
  <si>
    <t>B123277</t>
  </si>
  <si>
    <t>B123278</t>
  </si>
  <si>
    <t>B123279</t>
  </si>
  <si>
    <t>B123280</t>
  </si>
  <si>
    <t>B123281</t>
  </si>
  <si>
    <t>B123282</t>
  </si>
  <si>
    <t>B123283</t>
  </si>
  <si>
    <t>B123284</t>
  </si>
  <si>
    <t>B123285</t>
  </si>
  <si>
    <t>B123286</t>
  </si>
  <si>
    <t>B123287</t>
  </si>
  <si>
    <t>B123288</t>
  </si>
  <si>
    <t>B123289</t>
  </si>
  <si>
    <t>B123290</t>
  </si>
  <si>
    <t>B123291</t>
  </si>
  <si>
    <t>B123292</t>
  </si>
  <si>
    <t>B123293</t>
  </si>
  <si>
    <t>B123294</t>
  </si>
  <si>
    <t>B123295</t>
  </si>
  <si>
    <t>B123296</t>
  </si>
  <si>
    <t>B123297</t>
  </si>
  <si>
    <t>B123298</t>
  </si>
  <si>
    <t>B123299</t>
  </si>
  <si>
    <t>B123300</t>
  </si>
  <si>
    <t>B123301</t>
  </si>
  <si>
    <t>B123302</t>
  </si>
  <si>
    <t>B123303</t>
  </si>
  <si>
    <t>B123304</t>
  </si>
  <si>
    <t>B123305</t>
  </si>
  <si>
    <t>B123306</t>
  </si>
  <si>
    <t>B123307</t>
  </si>
  <si>
    <t>B123308</t>
  </si>
  <si>
    <t>B123309</t>
  </si>
  <si>
    <t>B123310</t>
  </si>
  <si>
    <t>B123311</t>
  </si>
  <si>
    <t>B123312</t>
  </si>
  <si>
    <t>B123313</t>
  </si>
  <si>
    <t>B123314</t>
  </si>
  <si>
    <t>B123315</t>
  </si>
  <si>
    <t>B123316</t>
  </si>
  <si>
    <t>B123317</t>
  </si>
  <si>
    <t>B123318</t>
  </si>
  <si>
    <t>B123319</t>
  </si>
  <si>
    <t>B123320</t>
  </si>
  <si>
    <t>B123321</t>
  </si>
  <si>
    <t>B123322</t>
  </si>
  <si>
    <t>B123323</t>
  </si>
  <si>
    <t>B123324</t>
  </si>
  <si>
    <t>B123325</t>
  </si>
  <si>
    <t>B123326</t>
  </si>
  <si>
    <t>B123327</t>
  </si>
  <si>
    <t>B123328</t>
  </si>
  <si>
    <t>B123329</t>
  </si>
  <si>
    <t>B123330</t>
  </si>
  <si>
    <t>B123331</t>
  </si>
  <si>
    <t>B123332</t>
  </si>
  <si>
    <t>B123333</t>
  </si>
  <si>
    <t>B123334</t>
  </si>
  <si>
    <t>B123335</t>
  </si>
  <si>
    <t>B123336</t>
  </si>
  <si>
    <t>B123337</t>
  </si>
  <si>
    <t>B123338</t>
  </si>
  <si>
    <t>test@schule.de</t>
  </si>
  <si>
    <t>Pfad\lbv_fill.exe</t>
  </si>
  <si>
    <t>Pfad</t>
  </si>
  <si>
    <t>Niemand</t>
  </si>
  <si>
    <t>Schule soundso</t>
  </si>
  <si>
    <t>1234</t>
  </si>
  <si>
    <t>L200</t>
  </si>
  <si>
    <t>Name200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</si>
</sst>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rial Unicode MS"/>
    </font>
    <font>
      <i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8">
    <xf numFmtId="0" fontId="0" fillId="0" borderId="0" xfId="0"/>
    <xf numFmtId="16" fontId="0" fillId="0" borderId="0" xfId="0" applyNumberFormat="1"/>
    <xf numFmtId="17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49" fontId="2" fillId="0" borderId="0" xfId="0" applyNumberFormat="1" applyFont="1" applyAlignment="1">
      <alignment wrapText="1"/>
    </xf>
    <xf numFmtId="49" fontId="2" fillId="0" borderId="0" xfId="0" applyNumberFormat="1" applyFont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2" fontId="0" fillId="0" borderId="0" xfId="0" applyNumberFormat="1" applyAlignment="1">
      <alignment wrapText="1"/>
    </xf>
    <xf numFmtId="0" fontId="3" fillId="0" borderId="0" xfId="0" applyFont="1"/>
    <xf numFmtId="14" fontId="0" fillId="0" borderId="0" xfId="0" applyNumberFormat="1"/>
    <xf numFmtId="14" fontId="0" fillId="0" borderId="0" xfId="0" applyNumberFormat="1" applyAlignment="1">
      <alignment wrapText="1"/>
    </xf>
    <xf numFmtId="49" fontId="0" fillId="0" borderId="0" xfId="0" applyNumberFormat="1" applyAlignment="1">
      <alignment wrapText="1"/>
    </xf>
    <xf numFmtId="0" fontId="0" fillId="0" borderId="0" xfId="0" applyAlignment="1">
      <alignment horizontal="left" wrapText="1"/>
    </xf>
    <xf numFmtId="0" fontId="2" fillId="0" borderId="0" xfId="0" applyFont="1"/>
    <xf numFmtId="0" fontId="6" fillId="0" borderId="0" xfId="1" applyAlignment="1">
      <alignment wrapText="1"/>
    </xf>
    <xf numFmtId="0" fontId="0" fillId="0" borderId="0" xfId="0" applyFont="1" applyFill="1"/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250825</xdr:colOff>
      <xdr:row>2</xdr:row>
      <xdr:rowOff>146050</xdr:rowOff>
    </xdr:from>
    <xdr:to>
      <xdr:col>4</xdr:col>
      <xdr:colOff>377825</xdr:colOff>
      <xdr:row>2</xdr:row>
      <xdr:rowOff>425450</xdr:rowOff>
    </xdr:to>
    <xdr:sp macro="Tabelle1Importieren" textlink="">
      <xdr:nvSpPr>
        <xdr:cNvPr id="2" name="Btn_Tabelle1Importieren">
          <a:extLst>
            <a:ext uri="{FF2B5EF4-FFF2-40B4-BE49-F238E27FC236}">
              <a16:creationId xmlns:a16="http://schemas.microsoft.com/office/drawing/2014/main" id="{5D8D6F5B-F17A-623D-744B-B63665B9CEA8}"/>
            </a:ext>
          </a:extLst>
        </xdr:cNvPr>
        <xdr:cNvSpPr/>
      </xdr:nvSpPr>
      <xdr:spPr>
        <a:xfrm>
          <a:off x="3632200" y="527050"/>
          <a:ext cx="1651000" cy="279400"/>
        </a:xfrm>
        <a:prstGeom prst="roundRect">
          <a:avLst/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Tabelle1 importieren</a:t>
          </a:r>
        </a:p>
      </xdr:txBody>
    </xdr:sp>
    <xdr:clientData/>
  </xdr:twoCellAnchor>
  <xdr:twoCellAnchor>
    <xdr:from>
      <xdr:col>4</xdr:col>
      <xdr:colOff>492125</xdr:colOff>
      <xdr:row>0</xdr:row>
      <xdr:rowOff>31750</xdr:rowOff>
    </xdr:from>
    <xdr:to>
      <xdr:col>6</xdr:col>
      <xdr:colOff>619125</xdr:colOff>
      <xdr:row>1</xdr:row>
      <xdr:rowOff>120650</xdr:rowOff>
    </xdr:to>
    <xdr:sp macro="SummenInTabelleUebersicht" textlink="">
      <xdr:nvSpPr>
        <xdr:cNvPr id="3" name="Btn_SummenInTabelleUebersicht">
          <a:extLst>
            <a:ext uri="{FF2B5EF4-FFF2-40B4-BE49-F238E27FC236}">
              <a16:creationId xmlns:a16="http://schemas.microsoft.com/office/drawing/2014/main" id="{8D06A659-D9E1-5DEA-99C6-66C46D5A728B}"/>
            </a:ext>
          </a:extLst>
        </xdr:cNvPr>
        <xdr:cNvSpPr/>
      </xdr:nvSpPr>
      <xdr:spPr>
        <a:xfrm>
          <a:off x="5397500" y="31750"/>
          <a:ext cx="1651000" cy="279400"/>
        </a:xfrm>
        <a:prstGeom prst="roundRect">
          <a:avLst/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Summen einlesen</a:t>
          </a:r>
        </a:p>
      </xdr:txBody>
    </xdr:sp>
    <xdr:clientData/>
  </xdr:twoCellAnchor>
  <xdr:twoCellAnchor>
    <xdr:from>
      <xdr:col>2</xdr:col>
      <xdr:colOff>123825</xdr:colOff>
      <xdr:row>0</xdr:row>
      <xdr:rowOff>50800</xdr:rowOff>
    </xdr:from>
    <xdr:to>
      <xdr:col>4</xdr:col>
      <xdr:colOff>250825</xdr:colOff>
      <xdr:row>1</xdr:row>
      <xdr:rowOff>139700</xdr:rowOff>
    </xdr:to>
    <xdr:sp macro="ButtonsErstellen" textlink="">
      <xdr:nvSpPr>
        <xdr:cNvPr id="4" name="Btn_ButtonsErstellen">
          <a:extLst>
            <a:ext uri="{FF2B5EF4-FFF2-40B4-BE49-F238E27FC236}">
              <a16:creationId xmlns:a16="http://schemas.microsoft.com/office/drawing/2014/main" id="{5F7A5A84-C753-0381-7123-B5B5B3A4D92D}"/>
            </a:ext>
          </a:extLst>
        </xdr:cNvPr>
        <xdr:cNvSpPr/>
      </xdr:nvSpPr>
      <xdr:spPr>
        <a:xfrm>
          <a:off x="3505200" y="50800"/>
          <a:ext cx="1651000" cy="279400"/>
        </a:xfrm>
        <a:prstGeom prst="roundRect">
          <a:avLst/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Buttons erstellen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717550</xdr:colOff>
      <xdr:row>0</xdr:row>
      <xdr:rowOff>50800</xdr:rowOff>
    </xdr:from>
    <xdr:to>
      <xdr:col>10</xdr:col>
      <xdr:colOff>82550</xdr:colOff>
      <xdr:row>1</xdr:row>
      <xdr:rowOff>139700</xdr:rowOff>
    </xdr:to>
    <xdr:sp macro="NamenskuerzelErsetzenUndZellenLoeschen" textlink="">
      <xdr:nvSpPr>
        <xdr:cNvPr id="2" name="Btn_NamenskuerzelErsetzenUndZellenLoeschen">
          <a:extLst>
            <a:ext uri="{FF2B5EF4-FFF2-40B4-BE49-F238E27FC236}">
              <a16:creationId xmlns:a16="http://schemas.microsoft.com/office/drawing/2014/main" id="{B3AA4CCC-D61B-1C3C-279D-19A8C0EA3417}"/>
            </a:ext>
          </a:extLst>
        </xdr:cNvPr>
        <xdr:cNvSpPr/>
      </xdr:nvSpPr>
      <xdr:spPr>
        <a:xfrm>
          <a:off x="6051550" y="50800"/>
          <a:ext cx="1651000" cy="279400"/>
        </a:xfrm>
        <a:prstGeom prst="roundRect">
          <a:avLst/>
        </a:prstGeom>
        <a:solidFill>
          <a:srgbClr val="70AD4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Kürzel ersetzen</a:t>
          </a:r>
        </a:p>
      </xdr:txBody>
    </xdr:sp>
    <xdr:clientData/>
  </xdr:twoCellAnchor>
  <xdr:twoCellAnchor>
    <xdr:from>
      <xdr:col>5</xdr:col>
      <xdr:colOff>330200</xdr:colOff>
      <xdr:row>0</xdr:row>
      <xdr:rowOff>107950</xdr:rowOff>
    </xdr:from>
    <xdr:to>
      <xdr:col>7</xdr:col>
      <xdr:colOff>457200</xdr:colOff>
      <xdr:row>2</xdr:row>
      <xdr:rowOff>6350</xdr:rowOff>
    </xdr:to>
    <xdr:sp macro="NamenskuerzelWiederherstellen" textlink="">
      <xdr:nvSpPr>
        <xdr:cNvPr id="3" name="Btn_NamenskuerzelWiederherstellen">
          <a:extLst>
            <a:ext uri="{FF2B5EF4-FFF2-40B4-BE49-F238E27FC236}">
              <a16:creationId xmlns:a16="http://schemas.microsoft.com/office/drawing/2014/main" id="{555F338E-E2D3-869A-31CE-70E0C1FA6DE9}"/>
            </a:ext>
          </a:extLst>
        </xdr:cNvPr>
        <xdr:cNvSpPr/>
      </xdr:nvSpPr>
      <xdr:spPr>
        <a:xfrm>
          <a:off x="5664200" y="107950"/>
          <a:ext cx="1651000" cy="279400"/>
        </a:xfrm>
        <a:prstGeom prst="roundRect">
          <a:avLst/>
        </a:prstGeom>
        <a:solidFill>
          <a:srgbClr val="70AD4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Kürzel wiederherstellen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0</xdr:row>
      <xdr:rowOff>50800</xdr:rowOff>
    </xdr:from>
    <xdr:to>
      <xdr:col>3</xdr:col>
      <xdr:colOff>180975</xdr:colOff>
      <xdr:row>0</xdr:row>
      <xdr:rowOff>314325</xdr:rowOff>
    </xdr:to>
    <xdr:sp macro="Tabelle1Importieren" textlink="">
      <xdr:nvSpPr>
        <xdr:cNvPr id="2" name="Btn_Tabelle1Importieren">
          <a:extLst>
            <a:ext uri="{FF2B5EF4-FFF2-40B4-BE49-F238E27FC236}">
              <a16:creationId xmlns:a16="http://schemas.microsoft.com/office/drawing/2014/main" id="{C6F46BD2-B8EB-5197-F90E-7B2F70856C26}"/>
            </a:ext>
          </a:extLst>
        </xdr:cNvPr>
        <xdr:cNvSpPr/>
      </xdr:nvSpPr>
      <xdr:spPr>
        <a:xfrm>
          <a:off x="50800" y="50800"/>
          <a:ext cx="1292225" cy="263525"/>
        </a:xfrm>
        <a:prstGeom prst="roundRect">
          <a:avLst/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Tabelle1 importieren</a:t>
          </a:r>
        </a:p>
      </xdr:txBody>
    </xdr:sp>
    <xdr:clientData/>
  </xdr:twoCellAnchor>
  <xdr:twoCellAnchor>
    <xdr:from>
      <xdr:col>3</xdr:col>
      <xdr:colOff>234950</xdr:colOff>
      <xdr:row>0</xdr:row>
      <xdr:rowOff>60325</xdr:rowOff>
    </xdr:from>
    <xdr:to>
      <xdr:col>4</xdr:col>
      <xdr:colOff>1066800</xdr:colOff>
      <xdr:row>0</xdr:row>
      <xdr:rowOff>339725</xdr:rowOff>
    </xdr:to>
    <xdr:sp macro="SummenInTabelleUebersicht" textlink="">
      <xdr:nvSpPr>
        <xdr:cNvPr id="3" name="Btn_SummenInTabelleUebersicht">
          <a:extLst>
            <a:ext uri="{FF2B5EF4-FFF2-40B4-BE49-F238E27FC236}">
              <a16:creationId xmlns:a16="http://schemas.microsoft.com/office/drawing/2014/main" id="{2B934400-D33F-6E50-6050-DA6BF63159AF}"/>
            </a:ext>
          </a:extLst>
        </xdr:cNvPr>
        <xdr:cNvSpPr/>
      </xdr:nvSpPr>
      <xdr:spPr>
        <a:xfrm>
          <a:off x="1397000" y="60325"/>
          <a:ext cx="1555750" cy="279400"/>
        </a:xfrm>
        <a:prstGeom prst="roundRect">
          <a:avLst/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Summen einlesen</a:t>
          </a:r>
        </a:p>
      </xdr:txBody>
    </xdr:sp>
    <xdr:clientData/>
  </xdr:twoCellAnchor>
  <xdr:twoCellAnchor>
    <xdr:from>
      <xdr:col>4</xdr:col>
      <xdr:colOff>1187450</xdr:colOff>
      <xdr:row>0</xdr:row>
      <xdr:rowOff>79375</xdr:rowOff>
    </xdr:from>
    <xdr:to>
      <xdr:col>7</xdr:col>
      <xdr:colOff>409575</xdr:colOff>
      <xdr:row>0</xdr:row>
      <xdr:rowOff>358775</xdr:rowOff>
    </xdr:to>
    <xdr:sp macro="PDFAlleMarkieren" textlink="">
      <xdr:nvSpPr>
        <xdr:cNvPr id="6" name="Btn_PDFAlleMarkieren">
          <a:extLst>
            <a:ext uri="{FF2B5EF4-FFF2-40B4-BE49-F238E27FC236}">
              <a16:creationId xmlns:a16="http://schemas.microsoft.com/office/drawing/2014/main" id="{F9CCF5BF-6814-2C15-A345-BB1E0DF23716}"/>
            </a:ext>
          </a:extLst>
        </xdr:cNvPr>
        <xdr:cNvSpPr/>
      </xdr:nvSpPr>
      <xdr:spPr>
        <a:xfrm>
          <a:off x="3073400" y="79375"/>
          <a:ext cx="1651000" cy="279400"/>
        </a:xfrm>
        <a:prstGeom prst="roundRect">
          <a:avLst/>
        </a:prstGeom>
        <a:solidFill>
          <a:srgbClr val="C55A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PDF - Alle markieren</a:t>
          </a:r>
        </a:p>
      </xdr:txBody>
    </xdr:sp>
    <xdr:clientData/>
  </xdr:twoCellAnchor>
  <xdr:twoCellAnchor>
    <xdr:from>
      <xdr:col>7</xdr:col>
      <xdr:colOff>476250</xdr:colOff>
      <xdr:row>0</xdr:row>
      <xdr:rowOff>69850</xdr:rowOff>
    </xdr:from>
    <xdr:to>
      <xdr:col>11</xdr:col>
      <xdr:colOff>155575</xdr:colOff>
      <xdr:row>0</xdr:row>
      <xdr:rowOff>349250</xdr:rowOff>
    </xdr:to>
    <xdr:sp macro="PDFNurAbrechnungsfaehige" textlink="">
      <xdr:nvSpPr>
        <xdr:cNvPr id="7" name="Btn_PDFNurAbrechnungsfaehige">
          <a:extLst>
            <a:ext uri="{FF2B5EF4-FFF2-40B4-BE49-F238E27FC236}">
              <a16:creationId xmlns:a16="http://schemas.microsoft.com/office/drawing/2014/main" id="{55FFA868-BD77-5C40-DE4B-FA15C82AC544}"/>
            </a:ext>
          </a:extLst>
        </xdr:cNvPr>
        <xdr:cNvSpPr/>
      </xdr:nvSpPr>
      <xdr:spPr>
        <a:xfrm>
          <a:off x="4791075" y="69850"/>
          <a:ext cx="1651000" cy="279400"/>
        </a:xfrm>
        <a:prstGeom prst="roundRect">
          <a:avLst/>
        </a:prstGeom>
        <a:solidFill>
          <a:srgbClr val="C55A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PDF - Nur Abrechnungsfähige</a:t>
          </a:r>
        </a:p>
      </xdr:txBody>
    </xdr:sp>
    <xdr:clientData/>
  </xdr:twoCellAnchor>
  <xdr:twoCellAnchor>
    <xdr:from>
      <xdr:col>11</xdr:col>
      <xdr:colOff>222250</xdr:colOff>
      <xdr:row>0</xdr:row>
      <xdr:rowOff>79375</xdr:rowOff>
    </xdr:from>
    <xdr:to>
      <xdr:col>14</xdr:col>
      <xdr:colOff>120650</xdr:colOff>
      <xdr:row>0</xdr:row>
      <xdr:rowOff>358775</xdr:rowOff>
    </xdr:to>
    <xdr:sp macro="PDFAuswahlLeeren" textlink="">
      <xdr:nvSpPr>
        <xdr:cNvPr id="8" name="Btn_PDFAuswahlLeeren">
          <a:extLst>
            <a:ext uri="{FF2B5EF4-FFF2-40B4-BE49-F238E27FC236}">
              <a16:creationId xmlns:a16="http://schemas.microsoft.com/office/drawing/2014/main" id="{CF31AC83-07C0-84F8-41B6-AD0C89A15DC6}"/>
            </a:ext>
          </a:extLst>
        </xdr:cNvPr>
        <xdr:cNvSpPr/>
      </xdr:nvSpPr>
      <xdr:spPr>
        <a:xfrm>
          <a:off x="6508750" y="79375"/>
          <a:ext cx="1651000" cy="279400"/>
        </a:xfrm>
        <a:prstGeom prst="roundRect">
          <a:avLst/>
        </a:prstGeom>
        <a:solidFill>
          <a:srgbClr val="C55A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PDF - Auswahl leeren</a:t>
          </a:r>
        </a:p>
      </xdr:txBody>
    </xdr:sp>
    <xdr:clientData/>
  </xdr:twoCellAnchor>
  <xdr:twoCellAnchor>
    <xdr:from>
      <xdr:col>13</xdr:col>
      <xdr:colOff>82550</xdr:colOff>
      <xdr:row>0</xdr:row>
      <xdr:rowOff>650875</xdr:rowOff>
    </xdr:from>
    <xdr:to>
      <xdr:col>15</xdr:col>
      <xdr:colOff>209550</xdr:colOff>
      <xdr:row>0</xdr:row>
      <xdr:rowOff>930275</xdr:rowOff>
    </xdr:to>
    <xdr:sp macro="PDFErstellen" textlink="">
      <xdr:nvSpPr>
        <xdr:cNvPr id="9" name="Btn_PDFErstellen">
          <a:extLst>
            <a:ext uri="{FF2B5EF4-FFF2-40B4-BE49-F238E27FC236}">
              <a16:creationId xmlns:a16="http://schemas.microsoft.com/office/drawing/2014/main" id="{40A69F4C-725C-D7F4-A7C1-FB77A0DE1987}"/>
            </a:ext>
          </a:extLst>
        </xdr:cNvPr>
        <xdr:cNvSpPr/>
      </xdr:nvSpPr>
      <xdr:spPr>
        <a:xfrm>
          <a:off x="7788275" y="650875"/>
          <a:ext cx="1651000" cy="279400"/>
        </a:xfrm>
        <a:prstGeom prst="roundRect">
          <a:avLst/>
        </a:prstGeom>
        <a:solidFill>
          <a:srgbClr val="C55A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PDFs erstellen</a:t>
          </a:r>
        </a:p>
      </xdr:txBody>
    </xdr:sp>
    <xdr:clientData/>
  </xdr:twoCellAnchor>
  <xdr:twoCellAnchor>
    <xdr:from>
      <xdr:col>14</xdr:col>
      <xdr:colOff>371475</xdr:colOff>
      <xdr:row>0</xdr:row>
      <xdr:rowOff>107950</xdr:rowOff>
    </xdr:from>
    <xdr:to>
      <xdr:col>16</xdr:col>
      <xdr:colOff>498475</xdr:colOff>
      <xdr:row>0</xdr:row>
      <xdr:rowOff>387350</xdr:rowOff>
    </xdr:to>
    <xdr:sp macro="PDFsDrucken" textlink="">
      <xdr:nvSpPr>
        <xdr:cNvPr id="10" name="Btn_PDFsDrucken">
          <a:extLst>
            <a:ext uri="{FF2B5EF4-FFF2-40B4-BE49-F238E27FC236}">
              <a16:creationId xmlns:a16="http://schemas.microsoft.com/office/drawing/2014/main" id="{451C9379-C3AD-E315-4016-F25E40EA5C9C}"/>
            </a:ext>
          </a:extLst>
        </xdr:cNvPr>
        <xdr:cNvSpPr/>
      </xdr:nvSpPr>
      <xdr:spPr>
        <a:xfrm>
          <a:off x="8410575" y="107950"/>
          <a:ext cx="1651000" cy="279400"/>
        </a:xfrm>
        <a:prstGeom prst="roundRect">
          <a:avLst/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PDFs drucken</a:t>
          </a:r>
        </a:p>
      </xdr:txBody>
    </xdr:sp>
    <xdr:clientData/>
  </xdr:twoCellAnchor>
  <xdr:twoCellAnchor>
    <xdr:from>
      <xdr:col>13</xdr:col>
      <xdr:colOff>165100</xdr:colOff>
      <xdr:row>0</xdr:row>
      <xdr:rowOff>1069975</xdr:rowOff>
    </xdr:from>
    <xdr:to>
      <xdr:col>15</xdr:col>
      <xdr:colOff>292100</xdr:colOff>
      <xdr:row>0</xdr:row>
      <xdr:rowOff>1349375</xdr:rowOff>
    </xdr:to>
    <xdr:sp macro="LBVFormularErstellen" textlink="">
      <xdr:nvSpPr>
        <xdr:cNvPr id="11" name="Btn_LBVFormularErstellen">
          <a:extLst>
            <a:ext uri="{FF2B5EF4-FFF2-40B4-BE49-F238E27FC236}">
              <a16:creationId xmlns:a16="http://schemas.microsoft.com/office/drawing/2014/main" id="{DE3D2ACD-798B-46B0-86D1-73C095CEE01A}"/>
            </a:ext>
          </a:extLst>
        </xdr:cNvPr>
        <xdr:cNvSpPr/>
      </xdr:nvSpPr>
      <xdr:spPr>
        <a:xfrm>
          <a:off x="7870825" y="1069975"/>
          <a:ext cx="1651000" cy="279400"/>
        </a:xfrm>
        <a:prstGeom prst="roundRect">
          <a:avLst/>
        </a:prstGeom>
        <a:solidFill>
          <a:schemeClr val="accent6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LBV-Formulare erstellen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542925</xdr:colOff>
          <xdr:row>0</xdr:row>
          <xdr:rowOff>638175</xdr:rowOff>
        </xdr:from>
        <xdr:to>
          <xdr:col>17</xdr:col>
          <xdr:colOff>381000</xdr:colOff>
          <xdr:row>0</xdr:row>
          <xdr:rowOff>1095375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Merge LBV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50800</xdr:colOff>
      <xdr:row>0</xdr:row>
      <xdr:rowOff>50800</xdr:rowOff>
    </xdr:from>
    <xdr:to>
      <xdr:col>3</xdr:col>
      <xdr:colOff>180975</xdr:colOff>
      <xdr:row>0</xdr:row>
      <xdr:rowOff>314325</xdr:rowOff>
    </xdr:to>
    <xdr:sp macro="Tabelle1Importieren" textlink="">
      <xdr:nvSpPr>
        <xdr:cNvPr id="4" name="Btn_Tabelle1Importieren">
          <a:extLst>
            <a:ext uri="{FF2B5EF4-FFF2-40B4-BE49-F238E27FC236}">
              <a16:creationId xmlns:a16="http://schemas.microsoft.com/office/drawing/2014/main" id="{386DFC51-9B06-4DA0-9A76-BAF301638E50}"/>
            </a:ext>
          </a:extLst>
        </xdr:cNvPr>
        <xdr:cNvSpPr/>
      </xdr:nvSpPr>
      <xdr:spPr>
        <a:xfrm>
          <a:off x="50800" y="50800"/>
          <a:ext cx="1187450" cy="263525"/>
        </a:xfrm>
        <a:prstGeom prst="roundRect">
          <a:avLst/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Tabelle1 importieren</a:t>
          </a:r>
        </a:p>
      </xdr:txBody>
    </xdr:sp>
    <xdr:clientData/>
  </xdr:twoCellAnchor>
  <xdr:twoCellAnchor>
    <xdr:from>
      <xdr:col>3</xdr:col>
      <xdr:colOff>234950</xdr:colOff>
      <xdr:row>0</xdr:row>
      <xdr:rowOff>60325</xdr:rowOff>
    </xdr:from>
    <xdr:to>
      <xdr:col>4</xdr:col>
      <xdr:colOff>1066800</xdr:colOff>
      <xdr:row>0</xdr:row>
      <xdr:rowOff>339725</xdr:rowOff>
    </xdr:to>
    <xdr:sp macro="SummenInTabelleUebersicht" textlink="">
      <xdr:nvSpPr>
        <xdr:cNvPr id="5" name="Btn_SummenInTabelleUebersicht">
          <a:extLst>
            <a:ext uri="{FF2B5EF4-FFF2-40B4-BE49-F238E27FC236}">
              <a16:creationId xmlns:a16="http://schemas.microsoft.com/office/drawing/2014/main" id="{4CAB6C0D-9CF7-4A98-A3B8-87B13D906F5E}"/>
            </a:ext>
          </a:extLst>
        </xdr:cNvPr>
        <xdr:cNvSpPr/>
      </xdr:nvSpPr>
      <xdr:spPr>
        <a:xfrm>
          <a:off x="1292225" y="60325"/>
          <a:ext cx="1384300" cy="279400"/>
        </a:xfrm>
        <a:prstGeom prst="roundRect">
          <a:avLst/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Summen einlesen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514350</xdr:colOff>
          <xdr:row>0</xdr:row>
          <xdr:rowOff>314325</xdr:rowOff>
        </xdr:from>
        <xdr:to>
          <xdr:col>21</xdr:col>
          <xdr:colOff>504825</xdr:colOff>
          <xdr:row>0</xdr:row>
          <xdr:rowOff>1095375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PDF-mailen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180975</xdr:colOff>
          <xdr:row>0</xdr:row>
          <xdr:rowOff>390525</xdr:rowOff>
        </xdr:from>
        <xdr:to>
          <xdr:col>24</xdr:col>
          <xdr:colOff>361950</xdr:colOff>
          <xdr:row>0</xdr:row>
          <xdr:rowOff>1190625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PDF- per outlook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test@schule.de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3:I173"/>
  <sheetViews>
    <sheetView topLeftCell="A98" zoomScale="89" zoomScaleNormal="89" workbookViewId="0">
      <selection activeCell="D191" sqref="D191"/>
    </sheetView>
  </sheetViews>
  <sheetFormatPr baseColWidth="10" defaultColWidth="10.7109375" defaultRowHeight="15"/>
  <sheetData>
    <row r="3" spans="1:9">
      <c r="A3" t="s">
        <v>83</v>
      </c>
    </row>
    <row r="6" spans="1:9">
      <c r="A6" t="s">
        <v>233</v>
      </c>
    </row>
    <row r="8" spans="1:9">
      <c r="A8" t="s">
        <v>0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6</v>
      </c>
      <c r="H8" t="s">
        <v>7</v>
      </c>
      <c r="I8" t="s">
        <v>8</v>
      </c>
    </row>
    <row r="9" spans="1:9">
      <c r="A9" t="s">
        <v>234</v>
      </c>
      <c r="B9" t="s">
        <v>58</v>
      </c>
      <c r="C9" t="s">
        <v>23</v>
      </c>
      <c r="D9">
        <v>-1</v>
      </c>
      <c r="E9">
        <v>-1</v>
      </c>
      <c r="F9" t="s">
        <v>57</v>
      </c>
      <c r="G9" t="s">
        <v>235</v>
      </c>
      <c r="H9" t="s">
        <v>236</v>
      </c>
    </row>
    <row r="10" spans="1:9">
      <c r="A10" t="s">
        <v>234</v>
      </c>
      <c r="B10" t="s">
        <v>59</v>
      </c>
      <c r="C10" t="s">
        <v>23</v>
      </c>
      <c r="D10">
        <v>-1</v>
      </c>
      <c r="E10">
        <v>-2</v>
      </c>
      <c r="F10" t="s">
        <v>237</v>
      </c>
      <c r="G10" t="s">
        <v>238</v>
      </c>
      <c r="H10" t="s">
        <v>236</v>
      </c>
    </row>
    <row r="11" spans="1:9">
      <c r="A11" t="s">
        <v>239</v>
      </c>
      <c r="B11" t="s">
        <v>50</v>
      </c>
      <c r="C11" t="s">
        <v>39</v>
      </c>
      <c r="D11">
        <v>-1</v>
      </c>
      <c r="E11">
        <v>-3</v>
      </c>
      <c r="F11" t="s">
        <v>237</v>
      </c>
      <c r="G11" t="s">
        <v>238</v>
      </c>
      <c r="H11" t="s">
        <v>42</v>
      </c>
    </row>
    <row r="12" spans="1:9">
      <c r="A12" t="s">
        <v>239</v>
      </c>
      <c r="B12" t="s">
        <v>50</v>
      </c>
      <c r="C12" t="s">
        <v>51</v>
      </c>
      <c r="D12">
        <v>1</v>
      </c>
      <c r="E12">
        <v>-2</v>
      </c>
      <c r="F12" t="s">
        <v>45</v>
      </c>
      <c r="G12" t="s">
        <v>235</v>
      </c>
      <c r="H12" t="s">
        <v>68</v>
      </c>
    </row>
    <row r="13" spans="1:9">
      <c r="A13" t="s">
        <v>239</v>
      </c>
      <c r="B13" t="s">
        <v>52</v>
      </c>
      <c r="C13" t="s">
        <v>39</v>
      </c>
      <c r="D13">
        <v>-1</v>
      </c>
      <c r="E13">
        <v>-3</v>
      </c>
      <c r="F13" t="s">
        <v>237</v>
      </c>
      <c r="G13" t="s">
        <v>238</v>
      </c>
      <c r="H13" t="s">
        <v>42</v>
      </c>
    </row>
    <row r="14" spans="1:9">
      <c r="A14" t="s">
        <v>239</v>
      </c>
      <c r="B14" t="s">
        <v>52</v>
      </c>
      <c r="C14" t="s">
        <v>51</v>
      </c>
      <c r="D14">
        <v>1</v>
      </c>
      <c r="E14">
        <v>-2</v>
      </c>
      <c r="F14" t="s">
        <v>240</v>
      </c>
      <c r="G14" t="s">
        <v>235</v>
      </c>
      <c r="H14" t="s">
        <v>68</v>
      </c>
    </row>
    <row r="15" spans="1:9">
      <c r="F15" t="s">
        <v>241</v>
      </c>
    </row>
    <row r="16" spans="1:9">
      <c r="F16" t="s">
        <v>73</v>
      </c>
    </row>
    <row r="17" spans="1:8">
      <c r="F17" t="s">
        <v>74</v>
      </c>
    </row>
    <row r="18" spans="1:8">
      <c r="A18" t="s">
        <v>239</v>
      </c>
      <c r="B18" t="s">
        <v>80</v>
      </c>
      <c r="C18" t="s">
        <v>39</v>
      </c>
      <c r="D18">
        <v>-1</v>
      </c>
      <c r="E18">
        <v>-3</v>
      </c>
      <c r="F18" t="s">
        <v>190</v>
      </c>
      <c r="G18" t="s">
        <v>235</v>
      </c>
      <c r="H18" t="s">
        <v>42</v>
      </c>
    </row>
    <row r="19" spans="1:8">
      <c r="A19" t="s">
        <v>239</v>
      </c>
      <c r="B19" t="s">
        <v>65</v>
      </c>
      <c r="C19" t="s">
        <v>39</v>
      </c>
      <c r="D19">
        <v>-1</v>
      </c>
      <c r="E19">
        <v>-4</v>
      </c>
      <c r="F19" t="s">
        <v>57</v>
      </c>
      <c r="G19" t="s">
        <v>242</v>
      </c>
      <c r="H19" t="s">
        <v>42</v>
      </c>
    </row>
    <row r="20" spans="1:8">
      <c r="F20" t="s">
        <v>191</v>
      </c>
      <c r="G20" t="s">
        <v>243</v>
      </c>
    </row>
    <row r="21" spans="1:8">
      <c r="G21" t="s">
        <v>244</v>
      </c>
    </row>
    <row r="22" spans="1:8">
      <c r="A22" t="s">
        <v>245</v>
      </c>
      <c r="B22" t="s">
        <v>25</v>
      </c>
      <c r="C22" t="s">
        <v>39</v>
      </c>
      <c r="D22">
        <v>-1</v>
      </c>
      <c r="E22">
        <v>-5</v>
      </c>
      <c r="F22" t="s">
        <v>246</v>
      </c>
      <c r="G22" t="s">
        <v>247</v>
      </c>
      <c r="H22" t="s">
        <v>42</v>
      </c>
    </row>
    <row r="23" spans="1:8">
      <c r="A23" t="s">
        <v>245</v>
      </c>
      <c r="B23" t="s">
        <v>25</v>
      </c>
      <c r="C23" t="s">
        <v>51</v>
      </c>
      <c r="D23">
        <v>1</v>
      </c>
      <c r="E23">
        <v>-4</v>
      </c>
      <c r="F23" t="s">
        <v>35</v>
      </c>
      <c r="G23" t="s">
        <v>235</v>
      </c>
      <c r="H23" t="s">
        <v>68</v>
      </c>
    </row>
    <row r="24" spans="1:8">
      <c r="A24" t="s">
        <v>245</v>
      </c>
      <c r="B24" t="s">
        <v>20</v>
      </c>
      <c r="C24" t="s">
        <v>51</v>
      </c>
      <c r="D24">
        <v>1</v>
      </c>
      <c r="E24">
        <v>-3</v>
      </c>
      <c r="F24" t="s">
        <v>45</v>
      </c>
      <c r="G24" t="s">
        <v>235</v>
      </c>
      <c r="H24" t="s">
        <v>64</v>
      </c>
    </row>
    <row r="25" spans="1:8">
      <c r="A25" t="s">
        <v>245</v>
      </c>
      <c r="B25" t="s">
        <v>20</v>
      </c>
      <c r="C25" t="s">
        <v>63</v>
      </c>
      <c r="D25">
        <v>0</v>
      </c>
      <c r="E25">
        <v>-3</v>
      </c>
      <c r="F25" t="s">
        <v>45</v>
      </c>
      <c r="G25" t="s">
        <v>235</v>
      </c>
      <c r="H25" t="s">
        <v>68</v>
      </c>
    </row>
    <row r="26" spans="1:8">
      <c r="A26" t="s">
        <v>248</v>
      </c>
      <c r="B26" t="s">
        <v>249</v>
      </c>
      <c r="C26" t="s">
        <v>51</v>
      </c>
      <c r="D26">
        <v>1</v>
      </c>
      <c r="E26">
        <v>-2</v>
      </c>
      <c r="F26" t="s">
        <v>57</v>
      </c>
      <c r="G26" t="s">
        <v>235</v>
      </c>
      <c r="H26" t="s">
        <v>68</v>
      </c>
    </row>
    <row r="27" spans="1:8">
      <c r="A27" t="s">
        <v>248</v>
      </c>
      <c r="B27" t="s">
        <v>250</v>
      </c>
      <c r="C27" t="s">
        <v>51</v>
      </c>
      <c r="D27">
        <v>1</v>
      </c>
      <c r="E27">
        <v>-1</v>
      </c>
      <c r="F27" t="s">
        <v>40</v>
      </c>
      <c r="G27" t="s">
        <v>235</v>
      </c>
      <c r="H27" t="s">
        <v>64</v>
      </c>
    </row>
    <row r="28" spans="1:8">
      <c r="F28" t="s">
        <v>43</v>
      </c>
    </row>
    <row r="29" spans="1:8">
      <c r="A29" t="s">
        <v>248</v>
      </c>
      <c r="B29" t="s">
        <v>250</v>
      </c>
      <c r="C29" t="s">
        <v>63</v>
      </c>
      <c r="D29">
        <v>0</v>
      </c>
      <c r="E29">
        <v>-1</v>
      </c>
      <c r="G29" t="s">
        <v>235</v>
      </c>
      <c r="H29" t="s">
        <v>68</v>
      </c>
    </row>
    <row r="30" spans="1:8">
      <c r="A30" t="s">
        <v>251</v>
      </c>
      <c r="B30" t="s">
        <v>59</v>
      </c>
      <c r="C30" t="s">
        <v>23</v>
      </c>
      <c r="D30">
        <v>-1</v>
      </c>
      <c r="E30">
        <v>-2</v>
      </c>
      <c r="F30" t="s">
        <v>237</v>
      </c>
      <c r="G30" t="s">
        <v>238</v>
      </c>
      <c r="H30" t="s">
        <v>252</v>
      </c>
    </row>
    <row r="31" spans="1:8">
      <c r="A31" t="s">
        <v>253</v>
      </c>
      <c r="B31" t="s">
        <v>50</v>
      </c>
      <c r="C31" t="s">
        <v>23</v>
      </c>
      <c r="D31">
        <v>-1</v>
      </c>
      <c r="E31">
        <v>-3</v>
      </c>
      <c r="F31" t="s">
        <v>237</v>
      </c>
      <c r="G31" t="s">
        <v>238</v>
      </c>
      <c r="H31" t="s">
        <v>252</v>
      </c>
    </row>
    <row r="32" spans="1:8">
      <c r="A32" t="s">
        <v>253</v>
      </c>
      <c r="B32" t="s">
        <v>52</v>
      </c>
      <c r="C32" t="s">
        <v>23</v>
      </c>
      <c r="D32">
        <v>-1</v>
      </c>
      <c r="E32">
        <v>-4</v>
      </c>
      <c r="F32" t="s">
        <v>237</v>
      </c>
      <c r="G32" t="s">
        <v>238</v>
      </c>
      <c r="H32" t="s">
        <v>252</v>
      </c>
    </row>
    <row r="33" spans="1:8">
      <c r="A33" t="s">
        <v>253</v>
      </c>
      <c r="B33" t="s">
        <v>52</v>
      </c>
      <c r="C33" t="s">
        <v>51</v>
      </c>
      <c r="D33">
        <v>1</v>
      </c>
      <c r="E33">
        <v>-3</v>
      </c>
      <c r="F33" t="s">
        <v>57</v>
      </c>
      <c r="G33" t="s">
        <v>24</v>
      </c>
      <c r="H33" t="s">
        <v>64</v>
      </c>
    </row>
    <row r="34" spans="1:8">
      <c r="A34" t="s">
        <v>254</v>
      </c>
      <c r="B34" t="s">
        <v>255</v>
      </c>
      <c r="C34" t="s">
        <v>9</v>
      </c>
      <c r="D34">
        <v>0</v>
      </c>
      <c r="E34">
        <v>-3</v>
      </c>
      <c r="H34" t="s">
        <v>10</v>
      </c>
    </row>
    <row r="35" spans="1:8">
      <c r="A35" t="s">
        <v>256</v>
      </c>
      <c r="B35" t="s">
        <v>249</v>
      </c>
      <c r="C35" t="s">
        <v>51</v>
      </c>
      <c r="D35">
        <v>1</v>
      </c>
      <c r="E35">
        <v>-2</v>
      </c>
      <c r="F35" t="s">
        <v>44</v>
      </c>
      <c r="G35" t="s">
        <v>235</v>
      </c>
      <c r="H35" t="s">
        <v>64</v>
      </c>
    </row>
    <row r="36" spans="1:8">
      <c r="A36" t="s">
        <v>257</v>
      </c>
      <c r="B36" t="s">
        <v>258</v>
      </c>
      <c r="C36" t="s">
        <v>18</v>
      </c>
      <c r="D36">
        <v>0</v>
      </c>
      <c r="E36">
        <v>-2</v>
      </c>
      <c r="F36" t="s">
        <v>57</v>
      </c>
      <c r="G36" t="s">
        <v>235</v>
      </c>
      <c r="H36" t="s">
        <v>78</v>
      </c>
    </row>
    <row r="37" spans="1:8">
      <c r="A37" t="s">
        <v>257</v>
      </c>
      <c r="B37" t="s">
        <v>249</v>
      </c>
      <c r="C37" t="s">
        <v>31</v>
      </c>
      <c r="D37">
        <v>0</v>
      </c>
      <c r="E37">
        <v>-2</v>
      </c>
      <c r="F37" t="s">
        <v>32</v>
      </c>
      <c r="G37" t="s">
        <v>33</v>
      </c>
      <c r="H37" t="s">
        <v>78</v>
      </c>
    </row>
    <row r="38" spans="1:8">
      <c r="F38" t="s">
        <v>34</v>
      </c>
    </row>
    <row r="39" spans="1:8">
      <c r="A39" t="s">
        <v>257</v>
      </c>
      <c r="B39" t="s">
        <v>259</v>
      </c>
      <c r="C39" t="s">
        <v>22</v>
      </c>
      <c r="D39">
        <v>0</v>
      </c>
      <c r="E39">
        <v>-2</v>
      </c>
      <c r="H39" t="s">
        <v>78</v>
      </c>
    </row>
    <row r="40" spans="1:8">
      <c r="A40" t="s">
        <v>257</v>
      </c>
      <c r="B40" t="s">
        <v>260</v>
      </c>
      <c r="C40" t="s">
        <v>18</v>
      </c>
      <c r="D40">
        <v>0</v>
      </c>
      <c r="E40">
        <v>-2</v>
      </c>
      <c r="F40" t="s">
        <v>185</v>
      </c>
      <c r="G40" t="s">
        <v>235</v>
      </c>
      <c r="H40" t="s">
        <v>78</v>
      </c>
    </row>
    <row r="41" spans="1:8">
      <c r="F41" t="s">
        <v>186</v>
      </c>
    </row>
    <row r="44" spans="1:8">
      <c r="A44" t="s">
        <v>261</v>
      </c>
    </row>
    <row r="45" spans="1:8">
      <c r="A45" t="s">
        <v>67</v>
      </c>
    </row>
    <row r="46" spans="1:8">
      <c r="A46" t="s">
        <v>262</v>
      </c>
    </row>
    <row r="47" spans="1:8">
      <c r="A47" t="s">
        <v>56</v>
      </c>
    </row>
    <row r="50" spans="1:2">
      <c r="A50" t="s">
        <v>263</v>
      </c>
    </row>
    <row r="51" spans="1:2">
      <c r="A51" t="s">
        <v>264</v>
      </c>
    </row>
    <row r="52" spans="1:2">
      <c r="A52" t="s">
        <v>38</v>
      </c>
    </row>
    <row r="53" spans="1:2">
      <c r="A53" t="s">
        <v>181</v>
      </c>
    </row>
    <row r="55" spans="1:2">
      <c r="A55" t="s">
        <v>265</v>
      </c>
    </row>
    <row r="56" spans="1:2">
      <c r="A56" t="s">
        <v>28</v>
      </c>
    </row>
    <row r="57" spans="1:2">
      <c r="A57" t="s">
        <v>15</v>
      </c>
    </row>
    <row r="58" spans="1:2">
      <c r="A58" t="s">
        <v>16</v>
      </c>
    </row>
    <row r="61" spans="1:2">
      <c r="A61" t="s">
        <v>499</v>
      </c>
      <c r="B61" t="s">
        <v>500</v>
      </c>
    </row>
    <row r="64" spans="1:2">
      <c r="A64" t="s">
        <v>233</v>
      </c>
    </row>
    <row r="66" spans="1:9">
      <c r="A66" t="s">
        <v>0</v>
      </c>
      <c r="B66" t="s">
        <v>1</v>
      </c>
      <c r="C66" t="s">
        <v>2</v>
      </c>
      <c r="D66" t="s">
        <v>3</v>
      </c>
      <c r="E66" t="s">
        <v>4</v>
      </c>
      <c r="F66" t="s">
        <v>5</v>
      </c>
      <c r="G66" t="s">
        <v>6</v>
      </c>
      <c r="H66" t="s">
        <v>7</v>
      </c>
      <c r="I66" t="s">
        <v>8</v>
      </c>
    </row>
    <row r="67" spans="1:9">
      <c r="A67" t="s">
        <v>234</v>
      </c>
      <c r="B67" t="s">
        <v>30</v>
      </c>
      <c r="C67" t="s">
        <v>23</v>
      </c>
      <c r="D67">
        <v>-1</v>
      </c>
      <c r="E67">
        <v>-1</v>
      </c>
      <c r="F67" t="s">
        <v>53</v>
      </c>
      <c r="G67" t="s">
        <v>26</v>
      </c>
      <c r="H67" t="s">
        <v>266</v>
      </c>
    </row>
    <row r="68" spans="1:9">
      <c r="F68" t="s">
        <v>55</v>
      </c>
      <c r="H68" t="s">
        <v>267</v>
      </c>
    </row>
    <row r="69" spans="1:9">
      <c r="A69" t="s">
        <v>234</v>
      </c>
      <c r="B69" t="s">
        <v>79</v>
      </c>
      <c r="C69" t="s">
        <v>23</v>
      </c>
      <c r="D69">
        <v>-1</v>
      </c>
      <c r="E69">
        <v>-2</v>
      </c>
      <c r="F69" t="s">
        <v>268</v>
      </c>
      <c r="G69" t="s">
        <v>269</v>
      </c>
      <c r="H69" t="s">
        <v>236</v>
      </c>
    </row>
    <row r="70" spans="1:9">
      <c r="F70" t="s">
        <v>270</v>
      </c>
    </row>
    <row r="71" spans="1:9">
      <c r="F71" t="s">
        <v>271</v>
      </c>
    </row>
    <row r="72" spans="1:9">
      <c r="F72" t="s">
        <v>73</v>
      </c>
    </row>
    <row r="73" spans="1:9">
      <c r="F73" t="s">
        <v>74</v>
      </c>
    </row>
    <row r="74" spans="1:9">
      <c r="A74" t="s">
        <v>234</v>
      </c>
      <c r="B74" t="s">
        <v>79</v>
      </c>
      <c r="C74" t="s">
        <v>23</v>
      </c>
      <c r="D74">
        <v>-1</v>
      </c>
      <c r="E74">
        <v>-3</v>
      </c>
      <c r="F74" t="s">
        <v>268</v>
      </c>
      <c r="G74" t="s">
        <v>269</v>
      </c>
      <c r="H74" t="s">
        <v>236</v>
      </c>
    </row>
    <row r="75" spans="1:9">
      <c r="F75" t="s">
        <v>270</v>
      </c>
    </row>
    <row r="76" spans="1:9">
      <c r="F76" t="s">
        <v>271</v>
      </c>
    </row>
    <row r="77" spans="1:9">
      <c r="F77" t="s">
        <v>73</v>
      </c>
    </row>
    <row r="78" spans="1:9">
      <c r="F78" t="s">
        <v>74</v>
      </c>
    </row>
    <row r="79" spans="1:9">
      <c r="A79" t="s">
        <v>234</v>
      </c>
      <c r="B79" t="s">
        <v>59</v>
      </c>
      <c r="C79" t="s">
        <v>23</v>
      </c>
      <c r="D79">
        <v>-1</v>
      </c>
      <c r="E79">
        <v>-4</v>
      </c>
      <c r="F79" t="s">
        <v>53</v>
      </c>
      <c r="G79" t="s">
        <v>238</v>
      </c>
      <c r="H79" t="s">
        <v>236</v>
      </c>
    </row>
    <row r="80" spans="1:9">
      <c r="F80" t="s">
        <v>60</v>
      </c>
    </row>
    <row r="81" spans="1:8">
      <c r="A81" t="s">
        <v>239</v>
      </c>
      <c r="B81" t="s">
        <v>61</v>
      </c>
      <c r="C81" t="s">
        <v>63</v>
      </c>
      <c r="D81">
        <v>0</v>
      </c>
      <c r="E81">
        <v>-4</v>
      </c>
      <c r="F81" t="s">
        <v>40</v>
      </c>
      <c r="G81" t="s">
        <v>41</v>
      </c>
      <c r="H81" t="s">
        <v>64</v>
      </c>
    </row>
    <row r="82" spans="1:8">
      <c r="F82" t="s">
        <v>43</v>
      </c>
    </row>
    <row r="83" spans="1:8">
      <c r="A83" t="s">
        <v>248</v>
      </c>
      <c r="B83" t="s">
        <v>182</v>
      </c>
      <c r="C83" t="s">
        <v>39</v>
      </c>
      <c r="D83">
        <v>-1</v>
      </c>
      <c r="E83">
        <v>-5</v>
      </c>
      <c r="F83" t="s">
        <v>272</v>
      </c>
      <c r="G83" t="s">
        <v>273</v>
      </c>
      <c r="H83" t="s">
        <v>42</v>
      </c>
    </row>
    <row r="84" spans="1:8">
      <c r="F84" t="s">
        <v>274</v>
      </c>
      <c r="G84" t="s">
        <v>180</v>
      </c>
    </row>
    <row r="85" spans="1:8">
      <c r="G85" t="s">
        <v>19</v>
      </c>
    </row>
    <row r="86" spans="1:8">
      <c r="A86" t="s">
        <v>248</v>
      </c>
      <c r="B86" t="s">
        <v>183</v>
      </c>
      <c r="C86" t="s">
        <v>39</v>
      </c>
      <c r="D86">
        <v>-1</v>
      </c>
      <c r="E86">
        <v>-6</v>
      </c>
      <c r="F86" t="s">
        <v>272</v>
      </c>
      <c r="G86" t="s">
        <v>273</v>
      </c>
      <c r="H86" t="s">
        <v>42</v>
      </c>
    </row>
    <row r="87" spans="1:8">
      <c r="F87" t="s">
        <v>274</v>
      </c>
      <c r="G87" t="s">
        <v>180</v>
      </c>
    </row>
    <row r="88" spans="1:8">
      <c r="G88" t="s">
        <v>19</v>
      </c>
    </row>
    <row r="89" spans="1:8">
      <c r="A89" t="s">
        <v>275</v>
      </c>
      <c r="B89" t="s">
        <v>76</v>
      </c>
      <c r="C89" t="s">
        <v>9</v>
      </c>
      <c r="D89">
        <v>0</v>
      </c>
      <c r="E89">
        <v>-6</v>
      </c>
      <c r="H89" t="s">
        <v>10</v>
      </c>
    </row>
    <row r="90" spans="1:8">
      <c r="A90" t="s">
        <v>251</v>
      </c>
      <c r="B90" t="s">
        <v>59</v>
      </c>
      <c r="C90" t="s">
        <v>23</v>
      </c>
      <c r="D90">
        <v>-1</v>
      </c>
      <c r="E90">
        <v>-7</v>
      </c>
      <c r="F90" t="s">
        <v>53</v>
      </c>
      <c r="G90" t="s">
        <v>238</v>
      </c>
      <c r="H90" t="s">
        <v>252</v>
      </c>
    </row>
    <row r="91" spans="1:8">
      <c r="F91" t="s">
        <v>60</v>
      </c>
    </row>
    <row r="92" spans="1:8">
      <c r="A92" t="s">
        <v>253</v>
      </c>
      <c r="B92" t="s">
        <v>61</v>
      </c>
      <c r="C92" t="s">
        <v>63</v>
      </c>
      <c r="D92">
        <v>0</v>
      </c>
      <c r="E92">
        <v>-7</v>
      </c>
      <c r="F92" t="s">
        <v>53</v>
      </c>
      <c r="G92" t="s">
        <v>27</v>
      </c>
      <c r="H92" t="s">
        <v>64</v>
      </c>
    </row>
    <row r="93" spans="1:8">
      <c r="F93" t="s">
        <v>55</v>
      </c>
    </row>
    <row r="94" spans="1:8">
      <c r="A94" t="s">
        <v>253</v>
      </c>
      <c r="B94" t="s">
        <v>50</v>
      </c>
      <c r="C94" t="s">
        <v>23</v>
      </c>
      <c r="D94">
        <v>-1</v>
      </c>
      <c r="E94">
        <v>-8</v>
      </c>
      <c r="F94" t="s">
        <v>53</v>
      </c>
      <c r="G94" t="s">
        <v>238</v>
      </c>
      <c r="H94" t="s">
        <v>252</v>
      </c>
    </row>
    <row r="95" spans="1:8">
      <c r="F95" t="s">
        <v>60</v>
      </c>
    </row>
    <row r="96" spans="1:8">
      <c r="A96" t="s">
        <v>253</v>
      </c>
      <c r="B96" t="s">
        <v>50</v>
      </c>
      <c r="C96" t="s">
        <v>51</v>
      </c>
      <c r="D96">
        <v>1</v>
      </c>
      <c r="E96">
        <v>-7</v>
      </c>
      <c r="F96" t="s">
        <v>57</v>
      </c>
      <c r="G96" t="s">
        <v>276</v>
      </c>
      <c r="H96" t="s">
        <v>64</v>
      </c>
    </row>
    <row r="97" spans="1:8">
      <c r="A97" t="s">
        <v>253</v>
      </c>
      <c r="B97" t="s">
        <v>52</v>
      </c>
      <c r="C97" t="s">
        <v>23</v>
      </c>
      <c r="D97">
        <v>-1</v>
      </c>
      <c r="E97">
        <v>-8</v>
      </c>
      <c r="F97" t="s">
        <v>53</v>
      </c>
      <c r="G97" t="s">
        <v>238</v>
      </c>
      <c r="H97" t="s">
        <v>252</v>
      </c>
    </row>
    <row r="98" spans="1:8">
      <c r="F98" t="s">
        <v>60</v>
      </c>
    </row>
    <row r="99" spans="1:8">
      <c r="A99" t="s">
        <v>253</v>
      </c>
      <c r="B99" t="s">
        <v>52</v>
      </c>
      <c r="C99" t="s">
        <v>51</v>
      </c>
      <c r="D99">
        <v>1</v>
      </c>
      <c r="E99">
        <v>-7</v>
      </c>
      <c r="F99" t="s">
        <v>57</v>
      </c>
      <c r="G99" t="s">
        <v>48</v>
      </c>
      <c r="H99" t="s">
        <v>64</v>
      </c>
    </row>
    <row r="100" spans="1:8">
      <c r="A100" t="s">
        <v>277</v>
      </c>
      <c r="B100" t="s">
        <v>71</v>
      </c>
      <c r="C100" t="s">
        <v>18</v>
      </c>
      <c r="D100">
        <v>0</v>
      </c>
      <c r="E100">
        <v>-7</v>
      </c>
      <c r="F100" t="s">
        <v>53</v>
      </c>
      <c r="G100" t="s">
        <v>70</v>
      </c>
      <c r="H100" t="s">
        <v>278</v>
      </c>
    </row>
    <row r="101" spans="1:8">
      <c r="F101" t="s">
        <v>55</v>
      </c>
    </row>
    <row r="102" spans="1:8">
      <c r="A102" t="s">
        <v>277</v>
      </c>
      <c r="B102" t="s">
        <v>72</v>
      </c>
      <c r="C102" t="s">
        <v>18</v>
      </c>
      <c r="D102">
        <v>0</v>
      </c>
      <c r="E102">
        <v>-7</v>
      </c>
      <c r="F102" t="s">
        <v>53</v>
      </c>
      <c r="G102" t="s">
        <v>70</v>
      </c>
      <c r="H102" t="s">
        <v>278</v>
      </c>
    </row>
    <row r="103" spans="1:8">
      <c r="F103" t="s">
        <v>55</v>
      </c>
    </row>
    <row r="104" spans="1:8">
      <c r="A104" t="s">
        <v>277</v>
      </c>
      <c r="B104" t="s">
        <v>25</v>
      </c>
      <c r="C104" t="s">
        <v>18</v>
      </c>
      <c r="D104">
        <v>0</v>
      </c>
      <c r="E104">
        <v>-7</v>
      </c>
      <c r="F104" t="s">
        <v>53</v>
      </c>
      <c r="G104" t="s">
        <v>279</v>
      </c>
      <c r="H104" t="s">
        <v>278</v>
      </c>
    </row>
    <row r="105" spans="1:8">
      <c r="F105" t="s">
        <v>55</v>
      </c>
    </row>
    <row r="106" spans="1:8">
      <c r="A106" t="s">
        <v>277</v>
      </c>
      <c r="B106" t="s">
        <v>17</v>
      </c>
      <c r="C106" t="s">
        <v>18</v>
      </c>
      <c r="D106">
        <v>0</v>
      </c>
      <c r="E106">
        <v>-7</v>
      </c>
      <c r="F106" t="s">
        <v>53</v>
      </c>
      <c r="G106" t="s">
        <v>26</v>
      </c>
      <c r="H106" t="s">
        <v>278</v>
      </c>
    </row>
    <row r="107" spans="1:8">
      <c r="F107" t="s">
        <v>55</v>
      </c>
    </row>
    <row r="108" spans="1:8">
      <c r="A108" t="s">
        <v>280</v>
      </c>
      <c r="B108" t="s">
        <v>281</v>
      </c>
      <c r="C108" t="s">
        <v>63</v>
      </c>
      <c r="D108">
        <v>0</v>
      </c>
      <c r="E108">
        <v>-7</v>
      </c>
      <c r="F108" t="s">
        <v>53</v>
      </c>
      <c r="G108" t="s">
        <v>282</v>
      </c>
      <c r="H108" t="s">
        <v>179</v>
      </c>
    </row>
    <row r="109" spans="1:8">
      <c r="F109" t="s">
        <v>55</v>
      </c>
    </row>
    <row r="110" spans="1:8">
      <c r="A110" t="s">
        <v>280</v>
      </c>
      <c r="B110" t="s">
        <v>29</v>
      </c>
      <c r="C110" t="s">
        <v>18</v>
      </c>
      <c r="D110">
        <v>0</v>
      </c>
      <c r="E110">
        <v>-7</v>
      </c>
      <c r="F110" t="s">
        <v>53</v>
      </c>
      <c r="G110" t="s">
        <v>282</v>
      </c>
      <c r="H110" t="s">
        <v>283</v>
      </c>
    </row>
    <row r="111" spans="1:8">
      <c r="F111" t="s">
        <v>55</v>
      </c>
    </row>
    <row r="112" spans="1:8">
      <c r="A112" t="s">
        <v>284</v>
      </c>
      <c r="B112" t="s">
        <v>61</v>
      </c>
      <c r="C112" t="s">
        <v>63</v>
      </c>
      <c r="D112">
        <v>0</v>
      </c>
      <c r="E112">
        <v>-7</v>
      </c>
      <c r="F112" t="s">
        <v>45</v>
      </c>
      <c r="G112" t="s">
        <v>276</v>
      </c>
      <c r="H112" t="s">
        <v>64</v>
      </c>
    </row>
    <row r="113" spans="1:8">
      <c r="A113" t="s">
        <v>285</v>
      </c>
      <c r="B113" t="s">
        <v>36</v>
      </c>
      <c r="C113" t="s">
        <v>63</v>
      </c>
      <c r="D113">
        <v>0</v>
      </c>
      <c r="E113">
        <v>-7</v>
      </c>
      <c r="F113" t="s">
        <v>53</v>
      </c>
      <c r="G113" t="s">
        <v>279</v>
      </c>
      <c r="H113" t="s">
        <v>179</v>
      </c>
    </row>
    <row r="114" spans="1:8">
      <c r="F114" t="s">
        <v>55</v>
      </c>
    </row>
    <row r="115" spans="1:8">
      <c r="A115" t="s">
        <v>285</v>
      </c>
      <c r="B115" t="s">
        <v>37</v>
      </c>
      <c r="C115" t="s">
        <v>18</v>
      </c>
      <c r="D115">
        <v>0</v>
      </c>
      <c r="E115">
        <v>-7</v>
      </c>
      <c r="F115" t="s">
        <v>53</v>
      </c>
      <c r="G115" t="s">
        <v>279</v>
      </c>
      <c r="H115" t="s">
        <v>286</v>
      </c>
    </row>
    <row r="116" spans="1:8">
      <c r="F116" t="s">
        <v>55</v>
      </c>
    </row>
    <row r="117" spans="1:8">
      <c r="A117" t="s">
        <v>287</v>
      </c>
      <c r="B117" t="s">
        <v>61</v>
      </c>
      <c r="C117" t="s">
        <v>63</v>
      </c>
      <c r="D117">
        <v>0</v>
      </c>
      <c r="E117">
        <v>-7</v>
      </c>
      <c r="F117" t="s">
        <v>53</v>
      </c>
      <c r="G117" t="s">
        <v>21</v>
      </c>
      <c r="H117" t="s">
        <v>64</v>
      </c>
    </row>
    <row r="118" spans="1:8">
      <c r="F118" t="s">
        <v>55</v>
      </c>
    </row>
    <row r="119" spans="1:8">
      <c r="A119" t="s">
        <v>288</v>
      </c>
      <c r="B119" t="s">
        <v>49</v>
      </c>
      <c r="C119" t="s">
        <v>51</v>
      </c>
      <c r="D119">
        <v>1</v>
      </c>
      <c r="E119">
        <v>-6</v>
      </c>
      <c r="F119" t="s">
        <v>47</v>
      </c>
      <c r="G119" t="s">
        <v>54</v>
      </c>
      <c r="H119" t="s">
        <v>64</v>
      </c>
    </row>
    <row r="120" spans="1:8">
      <c r="A120" t="s">
        <v>289</v>
      </c>
      <c r="B120" t="s">
        <v>36</v>
      </c>
      <c r="C120" t="s">
        <v>51</v>
      </c>
      <c r="D120">
        <v>1</v>
      </c>
      <c r="E120">
        <v>-5</v>
      </c>
      <c r="F120" t="s">
        <v>290</v>
      </c>
      <c r="G120" t="s">
        <v>291</v>
      </c>
      <c r="H120" t="s">
        <v>64</v>
      </c>
    </row>
    <row r="121" spans="1:8">
      <c r="F121" t="s">
        <v>187</v>
      </c>
    </row>
    <row r="124" spans="1:8">
      <c r="A124" t="s">
        <v>292</v>
      </c>
    </row>
    <row r="125" spans="1:8">
      <c r="A125" t="s">
        <v>293</v>
      </c>
    </row>
    <row r="126" spans="1:8">
      <c r="A126" t="s">
        <v>294</v>
      </c>
    </row>
    <row r="127" spans="1:8">
      <c r="A127" t="s">
        <v>75</v>
      </c>
    </row>
    <row r="130" spans="1:1">
      <c r="A130" t="s">
        <v>295</v>
      </c>
    </row>
    <row r="131" spans="1:1">
      <c r="A131" t="s">
        <v>296</v>
      </c>
    </row>
    <row r="132" spans="1:1">
      <c r="A132" t="s">
        <v>46</v>
      </c>
    </row>
    <row r="133" spans="1:1">
      <c r="A133" t="s">
        <v>297</v>
      </c>
    </row>
    <row r="135" spans="1:1">
      <c r="A135" t="s">
        <v>298</v>
      </c>
    </row>
    <row r="136" spans="1:1">
      <c r="A136" t="s">
        <v>14</v>
      </c>
    </row>
    <row r="137" spans="1:1">
      <c r="A137" t="s">
        <v>15</v>
      </c>
    </row>
    <row r="138" spans="1:1">
      <c r="A138" t="s">
        <v>224</v>
      </c>
    </row>
    <row r="141" spans="1:1">
      <c r="A141" t="s">
        <v>85</v>
      </c>
    </row>
    <row r="144" spans="1:1">
      <c r="A144" t="s">
        <v>233</v>
      </c>
    </row>
    <row r="146" spans="1:9">
      <c r="A146" t="s">
        <v>0</v>
      </c>
      <c r="B146" t="s">
        <v>1</v>
      </c>
      <c r="C146" t="s">
        <v>2</v>
      </c>
      <c r="D146" t="s">
        <v>3</v>
      </c>
      <c r="E146" t="s">
        <v>4</v>
      </c>
      <c r="F146" t="s">
        <v>5</v>
      </c>
      <c r="G146" t="s">
        <v>6</v>
      </c>
      <c r="H146" t="s">
        <v>7</v>
      </c>
      <c r="I146" t="s">
        <v>8</v>
      </c>
    </row>
    <row r="147" spans="1:9">
      <c r="A147" t="s">
        <v>239</v>
      </c>
      <c r="B147" t="s">
        <v>299</v>
      </c>
      <c r="C147" t="s">
        <v>9</v>
      </c>
      <c r="D147">
        <v>0</v>
      </c>
      <c r="E147">
        <v>0</v>
      </c>
      <c r="H147" t="s">
        <v>10</v>
      </c>
    </row>
    <row r="148" spans="1:9">
      <c r="A148" t="s">
        <v>248</v>
      </c>
      <c r="B148" t="s">
        <v>182</v>
      </c>
      <c r="C148" t="s">
        <v>23</v>
      </c>
      <c r="D148">
        <v>-1</v>
      </c>
      <c r="E148">
        <v>-1</v>
      </c>
      <c r="F148" t="s">
        <v>189</v>
      </c>
      <c r="G148" t="s">
        <v>238</v>
      </c>
      <c r="H148" t="s">
        <v>252</v>
      </c>
    </row>
    <row r="149" spans="1:9">
      <c r="A149" t="s">
        <v>277</v>
      </c>
      <c r="B149" t="s">
        <v>71</v>
      </c>
      <c r="C149" t="s">
        <v>23</v>
      </c>
      <c r="D149">
        <v>-1</v>
      </c>
      <c r="E149">
        <v>-2</v>
      </c>
      <c r="F149" t="s">
        <v>189</v>
      </c>
      <c r="G149" t="s">
        <v>238</v>
      </c>
      <c r="H149" t="s">
        <v>252</v>
      </c>
    </row>
    <row r="150" spans="1:9">
      <c r="A150" t="s">
        <v>277</v>
      </c>
      <c r="B150" t="s">
        <v>72</v>
      </c>
      <c r="C150" t="s">
        <v>23</v>
      </c>
      <c r="D150">
        <v>-1</v>
      </c>
      <c r="E150">
        <v>-3</v>
      </c>
      <c r="F150" t="s">
        <v>189</v>
      </c>
      <c r="G150" t="s">
        <v>238</v>
      </c>
      <c r="H150" t="s">
        <v>252</v>
      </c>
    </row>
    <row r="151" spans="1:9">
      <c r="A151" t="s">
        <v>277</v>
      </c>
      <c r="B151" t="s">
        <v>72</v>
      </c>
      <c r="C151" t="s">
        <v>51</v>
      </c>
      <c r="D151">
        <v>1</v>
      </c>
      <c r="E151">
        <v>-2</v>
      </c>
      <c r="F151" t="s">
        <v>53</v>
      </c>
      <c r="G151" t="s">
        <v>70</v>
      </c>
      <c r="H151" t="s">
        <v>64</v>
      </c>
    </row>
    <row r="152" spans="1:9">
      <c r="F152" t="s">
        <v>55</v>
      </c>
    </row>
    <row r="153" spans="1:9">
      <c r="A153" t="s">
        <v>300</v>
      </c>
      <c r="B153" t="s">
        <v>66</v>
      </c>
      <c r="C153" t="s">
        <v>51</v>
      </c>
      <c r="D153">
        <v>1</v>
      </c>
      <c r="E153">
        <v>-1</v>
      </c>
      <c r="F153" t="s">
        <v>47</v>
      </c>
      <c r="G153" t="s">
        <v>301</v>
      </c>
      <c r="H153" t="s">
        <v>64</v>
      </c>
    </row>
    <row r="154" spans="1:9">
      <c r="A154" t="s">
        <v>284</v>
      </c>
      <c r="B154" t="s">
        <v>62</v>
      </c>
      <c r="C154" t="s">
        <v>51</v>
      </c>
      <c r="D154">
        <v>1</v>
      </c>
      <c r="E154">
        <v>0</v>
      </c>
      <c r="F154" t="s">
        <v>302</v>
      </c>
      <c r="G154" t="s">
        <v>301</v>
      </c>
      <c r="H154" t="s">
        <v>64</v>
      </c>
    </row>
    <row r="155" spans="1:9">
      <c r="A155" t="s">
        <v>287</v>
      </c>
      <c r="B155" t="s">
        <v>62</v>
      </c>
      <c r="C155" t="s">
        <v>51</v>
      </c>
      <c r="D155">
        <v>1</v>
      </c>
      <c r="E155">
        <v>1</v>
      </c>
      <c r="F155" t="s">
        <v>57</v>
      </c>
      <c r="G155" t="s">
        <v>26</v>
      </c>
      <c r="H155" t="s">
        <v>64</v>
      </c>
    </row>
    <row r="156" spans="1:9">
      <c r="A156" t="s">
        <v>288</v>
      </c>
      <c r="B156" t="s">
        <v>49</v>
      </c>
      <c r="C156" t="s">
        <v>51</v>
      </c>
      <c r="D156">
        <v>1</v>
      </c>
      <c r="E156">
        <v>2</v>
      </c>
      <c r="F156" t="s">
        <v>47</v>
      </c>
      <c r="G156" t="s">
        <v>301</v>
      </c>
      <c r="H156" t="s">
        <v>64</v>
      </c>
    </row>
    <row r="159" spans="1:9">
      <c r="A159" t="s">
        <v>184</v>
      </c>
    </row>
    <row r="160" spans="1:9">
      <c r="A160" t="s">
        <v>11</v>
      </c>
    </row>
    <row r="161" spans="1:1">
      <c r="A161" t="s">
        <v>188</v>
      </c>
    </row>
    <row r="162" spans="1:1">
      <c r="A162" t="s">
        <v>12</v>
      </c>
    </row>
    <row r="165" spans="1:1">
      <c r="A165" t="s">
        <v>69</v>
      </c>
    </row>
    <row r="166" spans="1:1">
      <c r="A166" t="s">
        <v>264</v>
      </c>
    </row>
    <row r="167" spans="1:1">
      <c r="A167" t="s">
        <v>13</v>
      </c>
    </row>
    <row r="168" spans="1:1">
      <c r="A168" t="s">
        <v>77</v>
      </c>
    </row>
    <row r="170" spans="1:1">
      <c r="A170" t="s">
        <v>223</v>
      </c>
    </row>
    <row r="171" spans="1:1">
      <c r="A171" t="s">
        <v>14</v>
      </c>
    </row>
    <row r="172" spans="1:1">
      <c r="A172" t="s">
        <v>15</v>
      </c>
    </row>
    <row r="173" spans="1:1">
      <c r="A173" t="s">
        <v>16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A1:D25"/>
  <sheetViews>
    <sheetView workbookViewId="0">
      <selection activeCell="B11" sqref="B11"/>
    </sheetView>
  </sheetViews>
  <sheetFormatPr baseColWidth="10" defaultColWidth="10.7109375" defaultRowHeight="15"/>
  <cols>
    <col min="1" max="1" width="22.42578125" style="8" customWidth="1"/>
    <col min="2" max="2" width="57.140625" style="7" customWidth="1"/>
  </cols>
  <sheetData>
    <row r="1" spans="1:4">
      <c r="A1" s="8" t="s">
        <v>198</v>
      </c>
      <c r="B1" s="7">
        <v>2025</v>
      </c>
    </row>
    <row r="2" spans="1:4">
      <c r="A2" s="8" t="s">
        <v>200</v>
      </c>
    </row>
    <row r="3" spans="1:4" ht="48" customHeight="1">
      <c r="A3" s="8" t="s">
        <v>201</v>
      </c>
      <c r="B3" s="7" t="s">
        <v>497</v>
      </c>
    </row>
    <row r="4" spans="1:4">
      <c r="A4" s="8" t="s">
        <v>0</v>
      </c>
      <c r="B4" s="12">
        <f ca="1">TODAY()</f>
        <v>46311</v>
      </c>
    </row>
    <row r="5" spans="1:4">
      <c r="A5" s="8" t="s">
        <v>202</v>
      </c>
      <c r="B5" s="7" t="s">
        <v>496</v>
      </c>
    </row>
    <row r="6" spans="1:4">
      <c r="A6" s="8" t="s">
        <v>203</v>
      </c>
      <c r="B6" s="13" t="s">
        <v>498</v>
      </c>
    </row>
    <row r="7" spans="1:4">
      <c r="A7" s="8" t="s">
        <v>204</v>
      </c>
      <c r="B7" s="7">
        <v>1224</v>
      </c>
    </row>
    <row r="8" spans="1:4" ht="30">
      <c r="A8" s="8" t="s">
        <v>205</v>
      </c>
      <c r="B8" s="9">
        <v>45.01</v>
      </c>
      <c r="D8" t="s">
        <v>221</v>
      </c>
    </row>
    <row r="9" spans="1:4">
      <c r="A9" s="8" t="s">
        <v>208</v>
      </c>
      <c r="B9" s="7">
        <v>4</v>
      </c>
      <c r="D9" s="10" t="s">
        <v>213</v>
      </c>
    </row>
    <row r="10" spans="1:4" ht="47.25" customHeight="1">
      <c r="A10" s="8" t="s">
        <v>218</v>
      </c>
      <c r="B10" s="7" t="s">
        <v>495</v>
      </c>
      <c r="D10" s="10" t="s">
        <v>214</v>
      </c>
    </row>
    <row r="11" spans="1:4" ht="39.75" customHeight="1">
      <c r="A11" s="8" t="s">
        <v>219</v>
      </c>
      <c r="B11" s="7" t="s">
        <v>220</v>
      </c>
      <c r="D11" s="10" t="s">
        <v>215</v>
      </c>
    </row>
    <row r="12" spans="1:4" ht="44.25" customHeight="1">
      <c r="A12" s="8" t="s">
        <v>222</v>
      </c>
      <c r="B12" s="7" t="s">
        <v>494</v>
      </c>
      <c r="D12" s="10" t="s">
        <v>216</v>
      </c>
    </row>
    <row r="15" spans="1:4">
      <c r="A15" s="8" t="s">
        <v>225</v>
      </c>
      <c r="B15" s="7" t="s">
        <v>226</v>
      </c>
    </row>
    <row r="17" spans="1:2">
      <c r="A17" s="8" t="s">
        <v>227</v>
      </c>
      <c r="B17" s="14">
        <v>465</v>
      </c>
    </row>
    <row r="19" spans="1:2">
      <c r="A19" s="8" t="s">
        <v>228</v>
      </c>
      <c r="B19" s="7" t="s">
        <v>229</v>
      </c>
    </row>
    <row r="21" spans="1:2">
      <c r="A21" s="8" t="s">
        <v>230</v>
      </c>
      <c r="B21" s="16" t="s">
        <v>493</v>
      </c>
    </row>
    <row r="23" spans="1:2">
      <c r="A23" s="8" t="s">
        <v>231</v>
      </c>
      <c r="B23">
        <v>1234</v>
      </c>
    </row>
    <row r="25" spans="1:2">
      <c r="A25" s="15" t="s">
        <v>303</v>
      </c>
      <c r="B25" s="16"/>
    </row>
  </sheetData>
  <hyperlinks>
    <hyperlink ref="B21" r:id="rId1" xr:uid="{E4843E1D-AD46-401D-AF60-DF73E44BF35E}"/>
  </hyperlinks>
  <pageMargins left="0.7" right="0.7" top="0.78740157499999996" bottom="0.78740157499999996" header="0.3" footer="0.3"/>
  <pageSetup paperSize="9" orientation="portrait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G96"/>
  <sheetViews>
    <sheetView topLeftCell="A48" workbookViewId="0">
      <selection activeCell="D96" sqref="D96"/>
    </sheetView>
  </sheetViews>
  <sheetFormatPr baseColWidth="10" defaultColWidth="10.7109375" defaultRowHeight="15"/>
  <sheetData>
    <row r="1" spans="1:7">
      <c r="A1" t="s">
        <v>82</v>
      </c>
      <c r="B1" t="s">
        <v>81</v>
      </c>
      <c r="C1" t="s">
        <v>210</v>
      </c>
      <c r="D1" t="s">
        <v>206</v>
      </c>
    </row>
    <row r="2" spans="1:7">
      <c r="A2" t="s">
        <v>83</v>
      </c>
      <c r="B2" t="s">
        <v>304</v>
      </c>
      <c r="C2" t="s">
        <v>304</v>
      </c>
      <c r="D2" t="s">
        <v>304</v>
      </c>
      <c r="E2" s="1"/>
      <c r="G2" s="1"/>
    </row>
    <row r="3" spans="1:7">
      <c r="A3" t="s">
        <v>84</v>
      </c>
      <c r="B3" t="s">
        <v>305</v>
      </c>
      <c r="C3" t="s">
        <v>305</v>
      </c>
      <c r="D3" t="s">
        <v>305</v>
      </c>
      <c r="E3" s="1"/>
    </row>
    <row r="4" spans="1:7">
      <c r="A4" t="s">
        <v>85</v>
      </c>
      <c r="B4" t="s">
        <v>306</v>
      </c>
      <c r="C4" t="s">
        <v>306</v>
      </c>
      <c r="D4" t="s">
        <v>306</v>
      </c>
      <c r="E4" s="1"/>
      <c r="G4" s="1"/>
    </row>
    <row r="5" spans="1:7">
      <c r="A5" t="s">
        <v>86</v>
      </c>
      <c r="B5" t="s">
        <v>307</v>
      </c>
      <c r="C5" t="s">
        <v>307</v>
      </c>
      <c r="D5" t="s">
        <v>307</v>
      </c>
      <c r="E5" s="1"/>
      <c r="G5" s="1"/>
    </row>
    <row r="6" spans="1:7">
      <c r="A6" t="s">
        <v>87</v>
      </c>
      <c r="B6" t="s">
        <v>308</v>
      </c>
      <c r="C6" t="s">
        <v>308</v>
      </c>
      <c r="D6" t="s">
        <v>308</v>
      </c>
      <c r="E6" s="1"/>
      <c r="G6" s="1"/>
    </row>
    <row r="7" spans="1:7">
      <c r="A7" t="s">
        <v>88</v>
      </c>
      <c r="B7" t="s">
        <v>309</v>
      </c>
      <c r="C7" t="s">
        <v>309</v>
      </c>
      <c r="D7" t="s">
        <v>309</v>
      </c>
      <c r="E7" s="1"/>
      <c r="G7" s="1"/>
    </row>
    <row r="8" spans="1:7">
      <c r="A8" t="s">
        <v>89</v>
      </c>
      <c r="B8" t="s">
        <v>310</v>
      </c>
      <c r="C8" t="s">
        <v>310</v>
      </c>
      <c r="D8" t="s">
        <v>310</v>
      </c>
      <c r="E8" s="1"/>
      <c r="G8" s="1"/>
    </row>
    <row r="9" spans="1:7">
      <c r="A9" t="s">
        <v>90</v>
      </c>
      <c r="B9" t="s">
        <v>311</v>
      </c>
      <c r="C9" t="s">
        <v>311</v>
      </c>
      <c r="D9" t="s">
        <v>311</v>
      </c>
      <c r="E9" s="1"/>
      <c r="G9" s="1"/>
    </row>
    <row r="10" spans="1:7">
      <c r="A10" t="s">
        <v>91</v>
      </c>
      <c r="B10" t="s">
        <v>312</v>
      </c>
      <c r="C10" t="s">
        <v>312</v>
      </c>
      <c r="D10" t="s">
        <v>312</v>
      </c>
      <c r="E10" s="1"/>
      <c r="G10" s="1"/>
    </row>
    <row r="11" spans="1:7">
      <c r="A11" t="s">
        <v>92</v>
      </c>
      <c r="B11" t="s">
        <v>313</v>
      </c>
      <c r="C11" t="s">
        <v>313</v>
      </c>
      <c r="D11" t="s">
        <v>313</v>
      </c>
      <c r="E11" s="1"/>
      <c r="G11" s="1"/>
    </row>
    <row r="12" spans="1:7">
      <c r="A12" t="s">
        <v>93</v>
      </c>
      <c r="B12" t="s">
        <v>314</v>
      </c>
      <c r="C12" t="s">
        <v>314</v>
      </c>
      <c r="D12" t="s">
        <v>314</v>
      </c>
      <c r="E12" s="1"/>
      <c r="G12" s="1"/>
    </row>
    <row r="13" spans="1:7">
      <c r="A13" t="s">
        <v>94</v>
      </c>
      <c r="B13" t="s">
        <v>315</v>
      </c>
      <c r="C13" t="s">
        <v>315</v>
      </c>
      <c r="D13" t="s">
        <v>315</v>
      </c>
      <c r="E13" s="1"/>
      <c r="G13" s="1"/>
    </row>
    <row r="14" spans="1:7">
      <c r="A14" t="s">
        <v>95</v>
      </c>
      <c r="B14" t="s">
        <v>316</v>
      </c>
      <c r="C14" t="s">
        <v>316</v>
      </c>
      <c r="D14" t="s">
        <v>316</v>
      </c>
      <c r="E14" s="1"/>
      <c r="G14" s="1"/>
    </row>
    <row r="15" spans="1:7">
      <c r="A15" t="s">
        <v>96</v>
      </c>
      <c r="B15" t="s">
        <v>317</v>
      </c>
      <c r="C15" t="s">
        <v>317</v>
      </c>
      <c r="D15" t="s">
        <v>317</v>
      </c>
      <c r="E15" s="1"/>
      <c r="G15" s="1"/>
    </row>
    <row r="16" spans="1:7">
      <c r="A16" t="s">
        <v>97</v>
      </c>
      <c r="B16" t="s">
        <v>318</v>
      </c>
      <c r="C16" t="s">
        <v>318</v>
      </c>
      <c r="D16" t="s">
        <v>318</v>
      </c>
      <c r="E16" s="1"/>
    </row>
    <row r="17" spans="1:7">
      <c r="A17" t="s">
        <v>98</v>
      </c>
      <c r="B17" t="s">
        <v>319</v>
      </c>
      <c r="C17" t="s">
        <v>319</v>
      </c>
      <c r="D17" t="s">
        <v>319</v>
      </c>
      <c r="E17" s="1"/>
      <c r="G17" s="1"/>
    </row>
    <row r="18" spans="1:7">
      <c r="A18" t="s">
        <v>99</v>
      </c>
      <c r="B18" t="s">
        <v>320</v>
      </c>
      <c r="C18" t="s">
        <v>320</v>
      </c>
      <c r="D18" t="s">
        <v>320</v>
      </c>
      <c r="E18" s="1"/>
      <c r="G18" s="1"/>
    </row>
    <row r="19" spans="1:7">
      <c r="A19" t="s">
        <v>100</v>
      </c>
      <c r="B19" t="s">
        <v>321</v>
      </c>
      <c r="C19" t="s">
        <v>321</v>
      </c>
      <c r="D19" t="s">
        <v>321</v>
      </c>
      <c r="E19" s="1"/>
      <c r="G19" s="1"/>
    </row>
    <row r="20" spans="1:7">
      <c r="A20" t="s">
        <v>101</v>
      </c>
      <c r="B20" t="s">
        <v>322</v>
      </c>
      <c r="C20" t="s">
        <v>322</v>
      </c>
      <c r="D20" t="s">
        <v>322</v>
      </c>
      <c r="E20" s="1"/>
      <c r="G20" s="1"/>
    </row>
    <row r="21" spans="1:7">
      <c r="A21" t="s">
        <v>102</v>
      </c>
      <c r="B21" t="s">
        <v>323</v>
      </c>
      <c r="C21" t="s">
        <v>323</v>
      </c>
      <c r="D21" t="s">
        <v>323</v>
      </c>
      <c r="E21" s="1"/>
      <c r="G21" s="1"/>
    </row>
    <row r="22" spans="1:7">
      <c r="A22" t="s">
        <v>103</v>
      </c>
      <c r="B22" t="s">
        <v>324</v>
      </c>
      <c r="C22" t="s">
        <v>324</v>
      </c>
      <c r="D22" t="s">
        <v>324</v>
      </c>
      <c r="E22" s="2"/>
    </row>
    <row r="23" spans="1:7">
      <c r="A23" t="s">
        <v>104</v>
      </c>
      <c r="B23" t="s">
        <v>325</v>
      </c>
      <c r="C23" t="s">
        <v>325</v>
      </c>
      <c r="D23" t="s">
        <v>325</v>
      </c>
      <c r="E23" s="1"/>
      <c r="G23" s="1"/>
    </row>
    <row r="24" spans="1:7">
      <c r="A24" t="s">
        <v>105</v>
      </c>
      <c r="B24" t="s">
        <v>326</v>
      </c>
      <c r="C24" t="s">
        <v>326</v>
      </c>
      <c r="D24" t="s">
        <v>326</v>
      </c>
    </row>
    <row r="25" spans="1:7">
      <c r="A25" t="s">
        <v>106</v>
      </c>
      <c r="B25" t="s">
        <v>327</v>
      </c>
      <c r="C25" t="s">
        <v>327</v>
      </c>
      <c r="D25" t="s">
        <v>327</v>
      </c>
      <c r="E25" s="1"/>
      <c r="G25" s="1"/>
    </row>
    <row r="26" spans="1:7">
      <c r="A26" t="s">
        <v>107</v>
      </c>
      <c r="B26" t="s">
        <v>328</v>
      </c>
      <c r="C26" t="s">
        <v>328</v>
      </c>
      <c r="D26" t="s">
        <v>328</v>
      </c>
      <c r="E26" s="1"/>
      <c r="G26" s="1"/>
    </row>
    <row r="27" spans="1:7">
      <c r="A27" t="s">
        <v>108</v>
      </c>
      <c r="B27" t="s">
        <v>329</v>
      </c>
      <c r="C27" t="s">
        <v>329</v>
      </c>
      <c r="D27" t="s">
        <v>329</v>
      </c>
      <c r="E27" s="1"/>
      <c r="G27" s="1"/>
    </row>
    <row r="28" spans="1:7">
      <c r="A28" t="s">
        <v>109</v>
      </c>
      <c r="B28" t="s">
        <v>330</v>
      </c>
      <c r="C28" t="s">
        <v>330</v>
      </c>
      <c r="D28" t="s">
        <v>330</v>
      </c>
      <c r="E28" s="1"/>
      <c r="G28" s="1"/>
    </row>
    <row r="29" spans="1:7">
      <c r="A29" t="s">
        <v>110</v>
      </c>
      <c r="B29" t="s">
        <v>331</v>
      </c>
      <c r="C29" t="s">
        <v>331</v>
      </c>
      <c r="D29" t="s">
        <v>331</v>
      </c>
      <c r="E29" s="1"/>
      <c r="G29" s="1"/>
    </row>
    <row r="30" spans="1:7">
      <c r="A30" t="s">
        <v>111</v>
      </c>
      <c r="B30" t="s">
        <v>332</v>
      </c>
      <c r="C30" t="s">
        <v>332</v>
      </c>
      <c r="D30" t="s">
        <v>332</v>
      </c>
      <c r="E30" s="1"/>
      <c r="G30" s="1"/>
    </row>
    <row r="31" spans="1:7">
      <c r="A31" t="s">
        <v>112</v>
      </c>
      <c r="B31" t="s">
        <v>333</v>
      </c>
      <c r="C31" t="s">
        <v>333</v>
      </c>
      <c r="D31" t="s">
        <v>333</v>
      </c>
      <c r="E31" s="1"/>
      <c r="G31" s="1"/>
    </row>
    <row r="32" spans="1:7">
      <c r="A32" t="s">
        <v>113</v>
      </c>
      <c r="B32" t="s">
        <v>334</v>
      </c>
      <c r="C32" t="s">
        <v>334</v>
      </c>
      <c r="D32" t="s">
        <v>334</v>
      </c>
      <c r="E32" s="1"/>
      <c r="G32" s="1"/>
    </row>
    <row r="33" spans="1:7">
      <c r="A33" t="s">
        <v>114</v>
      </c>
      <c r="B33" t="s">
        <v>335</v>
      </c>
      <c r="C33" t="s">
        <v>335</v>
      </c>
      <c r="D33" t="s">
        <v>335</v>
      </c>
      <c r="E33" s="1"/>
      <c r="G33" s="1"/>
    </row>
    <row r="34" spans="1:7">
      <c r="A34" t="s">
        <v>115</v>
      </c>
      <c r="B34" t="s">
        <v>336</v>
      </c>
      <c r="C34" t="s">
        <v>336</v>
      </c>
      <c r="D34" t="s">
        <v>336</v>
      </c>
      <c r="E34" s="1"/>
      <c r="G34" s="1"/>
    </row>
    <row r="35" spans="1:7">
      <c r="A35" t="s">
        <v>116</v>
      </c>
      <c r="B35" t="s">
        <v>337</v>
      </c>
      <c r="C35" t="s">
        <v>337</v>
      </c>
      <c r="D35" t="s">
        <v>337</v>
      </c>
      <c r="E35" s="1"/>
      <c r="G35" s="1"/>
    </row>
    <row r="36" spans="1:7">
      <c r="A36" t="s">
        <v>117</v>
      </c>
      <c r="B36" t="s">
        <v>338</v>
      </c>
      <c r="C36" t="s">
        <v>338</v>
      </c>
      <c r="D36" t="s">
        <v>338</v>
      </c>
      <c r="E36" s="1"/>
      <c r="G36" s="1"/>
    </row>
    <row r="37" spans="1:7">
      <c r="A37" t="s">
        <v>118</v>
      </c>
      <c r="B37" t="s">
        <v>339</v>
      </c>
      <c r="C37" t="s">
        <v>339</v>
      </c>
      <c r="D37" t="s">
        <v>339</v>
      </c>
      <c r="E37" s="1"/>
    </row>
    <row r="38" spans="1:7">
      <c r="A38" t="s">
        <v>119</v>
      </c>
      <c r="B38" t="s">
        <v>340</v>
      </c>
      <c r="C38" t="s">
        <v>340</v>
      </c>
      <c r="D38" t="s">
        <v>340</v>
      </c>
      <c r="E38" s="1"/>
      <c r="G38" s="1"/>
    </row>
    <row r="39" spans="1:7">
      <c r="A39" t="s">
        <v>120</v>
      </c>
      <c r="B39" t="s">
        <v>341</v>
      </c>
      <c r="C39" t="s">
        <v>341</v>
      </c>
      <c r="D39" t="s">
        <v>341</v>
      </c>
      <c r="E39" s="1"/>
      <c r="G39" s="1"/>
    </row>
    <row r="40" spans="1:7">
      <c r="A40" t="s">
        <v>121</v>
      </c>
      <c r="B40" t="s">
        <v>342</v>
      </c>
      <c r="C40" t="s">
        <v>342</v>
      </c>
      <c r="D40" t="s">
        <v>342</v>
      </c>
    </row>
    <row r="41" spans="1:7">
      <c r="A41" t="s">
        <v>122</v>
      </c>
      <c r="B41" t="s">
        <v>343</v>
      </c>
      <c r="C41" t="s">
        <v>343</v>
      </c>
      <c r="D41" t="s">
        <v>343</v>
      </c>
      <c r="E41" s="1"/>
    </row>
    <row r="42" spans="1:7">
      <c r="A42" t="s">
        <v>123</v>
      </c>
      <c r="B42" t="s">
        <v>344</v>
      </c>
      <c r="C42" t="s">
        <v>344</v>
      </c>
      <c r="D42" t="s">
        <v>344</v>
      </c>
      <c r="E42" s="1"/>
      <c r="G42" s="1"/>
    </row>
    <row r="43" spans="1:7">
      <c r="A43" t="s">
        <v>124</v>
      </c>
      <c r="B43" t="s">
        <v>345</v>
      </c>
      <c r="C43" t="s">
        <v>345</v>
      </c>
      <c r="D43" t="s">
        <v>345</v>
      </c>
    </row>
    <row r="44" spans="1:7">
      <c r="A44" t="s">
        <v>125</v>
      </c>
      <c r="B44" t="s">
        <v>346</v>
      </c>
      <c r="C44" t="s">
        <v>346</v>
      </c>
      <c r="D44" t="s">
        <v>346</v>
      </c>
      <c r="E44" s="1"/>
      <c r="G44" s="1"/>
    </row>
    <row r="45" spans="1:7">
      <c r="A45" t="s">
        <v>126</v>
      </c>
      <c r="B45" t="s">
        <v>347</v>
      </c>
      <c r="C45" t="s">
        <v>347</v>
      </c>
      <c r="D45" t="s">
        <v>347</v>
      </c>
      <c r="E45" s="1"/>
      <c r="G45" s="1"/>
    </row>
    <row r="46" spans="1:7">
      <c r="A46" t="s">
        <v>127</v>
      </c>
      <c r="B46" t="s">
        <v>348</v>
      </c>
      <c r="C46" t="s">
        <v>348</v>
      </c>
      <c r="D46" t="s">
        <v>348</v>
      </c>
      <c r="G46" s="1"/>
    </row>
    <row r="47" spans="1:7">
      <c r="A47" t="s">
        <v>128</v>
      </c>
      <c r="B47" t="s">
        <v>349</v>
      </c>
      <c r="C47" t="s">
        <v>349</v>
      </c>
      <c r="D47" t="s">
        <v>349</v>
      </c>
      <c r="E47" s="1"/>
      <c r="G47" s="1"/>
    </row>
    <row r="48" spans="1:7">
      <c r="A48" t="s">
        <v>129</v>
      </c>
      <c r="B48" t="s">
        <v>350</v>
      </c>
      <c r="C48" t="s">
        <v>350</v>
      </c>
      <c r="D48" t="s">
        <v>350</v>
      </c>
      <c r="E48" s="1"/>
      <c r="G48" s="1"/>
    </row>
    <row r="49" spans="1:7">
      <c r="A49" t="s">
        <v>130</v>
      </c>
      <c r="B49" t="s">
        <v>351</v>
      </c>
      <c r="C49" t="s">
        <v>351</v>
      </c>
      <c r="D49" t="s">
        <v>351</v>
      </c>
      <c r="E49" s="1"/>
      <c r="G49" s="1"/>
    </row>
    <row r="50" spans="1:7">
      <c r="A50" t="s">
        <v>131</v>
      </c>
      <c r="B50" t="s">
        <v>352</v>
      </c>
      <c r="C50" t="s">
        <v>352</v>
      </c>
      <c r="D50" t="s">
        <v>352</v>
      </c>
      <c r="E50" s="1"/>
    </row>
    <row r="51" spans="1:7">
      <c r="A51" t="s">
        <v>132</v>
      </c>
      <c r="B51" t="s">
        <v>353</v>
      </c>
      <c r="C51" t="s">
        <v>353</v>
      </c>
      <c r="D51" t="s">
        <v>353</v>
      </c>
      <c r="E51" s="1"/>
      <c r="G51" s="1"/>
    </row>
    <row r="52" spans="1:7">
      <c r="A52" t="s">
        <v>133</v>
      </c>
      <c r="B52" t="s">
        <v>354</v>
      </c>
      <c r="C52" t="s">
        <v>354</v>
      </c>
      <c r="D52" t="s">
        <v>354</v>
      </c>
      <c r="E52" s="1"/>
      <c r="G52" s="1"/>
    </row>
    <row r="53" spans="1:7">
      <c r="A53" t="s">
        <v>134</v>
      </c>
      <c r="B53" t="s">
        <v>355</v>
      </c>
      <c r="C53" t="s">
        <v>355</v>
      </c>
      <c r="D53" t="s">
        <v>355</v>
      </c>
      <c r="E53" s="1"/>
      <c r="G53" s="1"/>
    </row>
    <row r="54" spans="1:7">
      <c r="A54" t="s">
        <v>135</v>
      </c>
      <c r="B54" t="s">
        <v>356</v>
      </c>
      <c r="C54" t="s">
        <v>356</v>
      </c>
      <c r="D54" t="s">
        <v>356</v>
      </c>
      <c r="E54" s="1"/>
      <c r="G54" s="1"/>
    </row>
    <row r="55" spans="1:7">
      <c r="A55" t="s">
        <v>136</v>
      </c>
      <c r="B55" t="s">
        <v>357</v>
      </c>
      <c r="C55" t="s">
        <v>357</v>
      </c>
      <c r="D55" t="s">
        <v>357</v>
      </c>
    </row>
    <row r="56" spans="1:7">
      <c r="A56" t="s">
        <v>137</v>
      </c>
      <c r="B56" t="s">
        <v>358</v>
      </c>
      <c r="C56" t="s">
        <v>358</v>
      </c>
      <c r="D56" t="s">
        <v>358</v>
      </c>
      <c r="E56" s="1"/>
      <c r="G56" s="1"/>
    </row>
    <row r="57" spans="1:7">
      <c r="A57" t="s">
        <v>138</v>
      </c>
      <c r="B57" t="s">
        <v>359</v>
      </c>
      <c r="C57" t="s">
        <v>359</v>
      </c>
      <c r="D57" t="s">
        <v>359</v>
      </c>
      <c r="E57" s="1"/>
      <c r="G57" s="1"/>
    </row>
    <row r="58" spans="1:7">
      <c r="A58" t="s">
        <v>139</v>
      </c>
      <c r="B58" t="s">
        <v>360</v>
      </c>
      <c r="C58" t="s">
        <v>360</v>
      </c>
      <c r="D58" t="s">
        <v>360</v>
      </c>
      <c r="E58" s="1"/>
      <c r="G58" s="1"/>
    </row>
    <row r="59" spans="1:7">
      <c r="A59" t="s">
        <v>140</v>
      </c>
      <c r="B59" t="s">
        <v>361</v>
      </c>
      <c r="C59" t="s">
        <v>361</v>
      </c>
      <c r="D59" t="s">
        <v>361</v>
      </c>
    </row>
    <row r="60" spans="1:7">
      <c r="A60" t="s">
        <v>141</v>
      </c>
      <c r="B60" t="s">
        <v>362</v>
      </c>
      <c r="C60" t="s">
        <v>362</v>
      </c>
      <c r="D60" t="s">
        <v>362</v>
      </c>
      <c r="E60" s="1"/>
      <c r="G60" s="1"/>
    </row>
    <row r="61" spans="1:7">
      <c r="A61" t="s">
        <v>142</v>
      </c>
      <c r="B61" t="s">
        <v>363</v>
      </c>
      <c r="C61" t="s">
        <v>363</v>
      </c>
      <c r="D61" t="s">
        <v>363</v>
      </c>
    </row>
    <row r="62" spans="1:7">
      <c r="A62" t="s">
        <v>143</v>
      </c>
      <c r="B62" t="s">
        <v>364</v>
      </c>
      <c r="C62" t="s">
        <v>364</v>
      </c>
      <c r="D62" t="s">
        <v>364</v>
      </c>
      <c r="E62" s="1"/>
      <c r="G62" s="1"/>
    </row>
    <row r="63" spans="1:7">
      <c r="A63" t="s">
        <v>144</v>
      </c>
      <c r="B63" t="s">
        <v>365</v>
      </c>
      <c r="C63" t="s">
        <v>365</v>
      </c>
      <c r="D63" t="s">
        <v>365</v>
      </c>
      <c r="E63" s="1"/>
      <c r="G63" s="1"/>
    </row>
    <row r="64" spans="1:7">
      <c r="A64" t="s">
        <v>145</v>
      </c>
      <c r="B64" t="s">
        <v>366</v>
      </c>
      <c r="C64" t="s">
        <v>366</v>
      </c>
      <c r="D64" t="s">
        <v>366</v>
      </c>
      <c r="E64" s="1"/>
      <c r="G64" s="1"/>
    </row>
    <row r="65" spans="1:7">
      <c r="A65" t="s">
        <v>146</v>
      </c>
      <c r="B65" t="s">
        <v>367</v>
      </c>
      <c r="C65" t="s">
        <v>367</v>
      </c>
      <c r="D65" t="s">
        <v>367</v>
      </c>
      <c r="E65" s="1"/>
      <c r="G65" s="1"/>
    </row>
    <row r="66" spans="1:7">
      <c r="A66" t="s">
        <v>147</v>
      </c>
      <c r="B66" t="s">
        <v>368</v>
      </c>
      <c r="C66" t="s">
        <v>368</v>
      </c>
      <c r="D66" t="s">
        <v>368</v>
      </c>
      <c r="E66" s="1"/>
      <c r="G66" s="1"/>
    </row>
    <row r="67" spans="1:7">
      <c r="A67" t="s">
        <v>148</v>
      </c>
      <c r="B67" t="s">
        <v>369</v>
      </c>
      <c r="C67" t="s">
        <v>369</v>
      </c>
      <c r="D67" t="s">
        <v>369</v>
      </c>
      <c r="E67" s="1"/>
      <c r="G67" s="1"/>
    </row>
    <row r="68" spans="1:7">
      <c r="A68" t="s">
        <v>149</v>
      </c>
      <c r="B68" t="s">
        <v>370</v>
      </c>
      <c r="C68" t="s">
        <v>370</v>
      </c>
      <c r="D68" t="s">
        <v>370</v>
      </c>
      <c r="E68" s="1"/>
      <c r="G68" s="1"/>
    </row>
    <row r="69" spans="1:7">
      <c r="A69" t="s">
        <v>150</v>
      </c>
      <c r="B69" t="s">
        <v>371</v>
      </c>
      <c r="C69" t="s">
        <v>371</v>
      </c>
      <c r="D69" t="s">
        <v>371</v>
      </c>
      <c r="E69" s="1"/>
      <c r="G69" s="1"/>
    </row>
    <row r="70" spans="1:7">
      <c r="A70" t="s">
        <v>151</v>
      </c>
      <c r="B70" t="s">
        <v>372</v>
      </c>
      <c r="C70" t="s">
        <v>372</v>
      </c>
      <c r="D70" t="s">
        <v>372</v>
      </c>
      <c r="E70" s="1"/>
      <c r="G70" s="1"/>
    </row>
    <row r="71" spans="1:7">
      <c r="A71" t="s">
        <v>152</v>
      </c>
      <c r="B71" t="s">
        <v>373</v>
      </c>
      <c r="C71" t="s">
        <v>373</v>
      </c>
      <c r="D71" t="s">
        <v>373</v>
      </c>
    </row>
    <row r="72" spans="1:7">
      <c r="A72" t="s">
        <v>153</v>
      </c>
      <c r="B72" t="s">
        <v>374</v>
      </c>
      <c r="C72" t="s">
        <v>374</v>
      </c>
      <c r="D72" t="s">
        <v>374</v>
      </c>
      <c r="E72" s="1"/>
      <c r="G72" s="1"/>
    </row>
    <row r="73" spans="1:7">
      <c r="A73" t="s">
        <v>154</v>
      </c>
      <c r="B73" t="s">
        <v>375</v>
      </c>
      <c r="C73" t="s">
        <v>375</v>
      </c>
      <c r="D73" t="s">
        <v>375</v>
      </c>
      <c r="E73" s="1"/>
      <c r="G73" s="1"/>
    </row>
    <row r="74" spans="1:7">
      <c r="A74" t="s">
        <v>155</v>
      </c>
      <c r="B74" t="s">
        <v>376</v>
      </c>
      <c r="C74" t="s">
        <v>376</v>
      </c>
      <c r="D74" t="s">
        <v>376</v>
      </c>
      <c r="G74" s="1"/>
    </row>
    <row r="75" spans="1:7">
      <c r="A75" t="s">
        <v>156</v>
      </c>
      <c r="B75" t="s">
        <v>377</v>
      </c>
      <c r="C75" t="s">
        <v>377</v>
      </c>
      <c r="D75" t="s">
        <v>377</v>
      </c>
      <c r="E75" s="1"/>
      <c r="G75" s="1"/>
    </row>
    <row r="76" spans="1:7">
      <c r="A76" t="s">
        <v>157</v>
      </c>
      <c r="B76" t="s">
        <v>378</v>
      </c>
      <c r="C76" t="s">
        <v>378</v>
      </c>
      <c r="D76" t="s">
        <v>378</v>
      </c>
      <c r="G76" s="1"/>
    </row>
    <row r="77" spans="1:7">
      <c r="A77" t="s">
        <v>158</v>
      </c>
      <c r="B77" t="s">
        <v>379</v>
      </c>
      <c r="C77" t="s">
        <v>379</v>
      </c>
      <c r="D77" t="s">
        <v>379</v>
      </c>
    </row>
    <row r="78" spans="1:7">
      <c r="A78" t="s">
        <v>159</v>
      </c>
      <c r="B78" t="s">
        <v>380</v>
      </c>
      <c r="C78" t="s">
        <v>380</v>
      </c>
      <c r="D78" t="s">
        <v>380</v>
      </c>
      <c r="E78" s="1"/>
      <c r="G78" s="1"/>
    </row>
    <row r="79" spans="1:7">
      <c r="A79" t="s">
        <v>160</v>
      </c>
      <c r="B79" t="s">
        <v>381</v>
      </c>
      <c r="C79" t="s">
        <v>381</v>
      </c>
      <c r="D79" t="s">
        <v>381</v>
      </c>
      <c r="E79" s="1"/>
      <c r="G79" s="1"/>
    </row>
    <row r="80" spans="1:7">
      <c r="A80" t="s">
        <v>161</v>
      </c>
      <c r="B80" t="s">
        <v>382</v>
      </c>
      <c r="C80" t="s">
        <v>382</v>
      </c>
      <c r="D80" t="s">
        <v>382</v>
      </c>
      <c r="E80" s="1"/>
      <c r="G80" s="1"/>
    </row>
    <row r="81" spans="1:7">
      <c r="A81" t="s">
        <v>162</v>
      </c>
      <c r="B81" t="s">
        <v>383</v>
      </c>
      <c r="C81" t="s">
        <v>383</v>
      </c>
      <c r="D81" t="s">
        <v>383</v>
      </c>
      <c r="E81" s="1"/>
      <c r="G81" s="1"/>
    </row>
    <row r="82" spans="1:7">
      <c r="A82" t="s">
        <v>163</v>
      </c>
      <c r="B82" t="s">
        <v>384</v>
      </c>
      <c r="C82" t="s">
        <v>384</v>
      </c>
      <c r="D82" t="s">
        <v>384</v>
      </c>
    </row>
    <row r="83" spans="1:7">
      <c r="A83" t="s">
        <v>164</v>
      </c>
      <c r="B83" t="s">
        <v>385</v>
      </c>
      <c r="C83" t="s">
        <v>385</v>
      </c>
      <c r="D83" t="s">
        <v>385</v>
      </c>
    </row>
    <row r="84" spans="1:7">
      <c r="A84" t="s">
        <v>165</v>
      </c>
      <c r="B84" t="s">
        <v>386</v>
      </c>
      <c r="C84" t="s">
        <v>386</v>
      </c>
      <c r="D84" t="s">
        <v>386</v>
      </c>
      <c r="E84" s="1"/>
      <c r="G84" s="1"/>
    </row>
    <row r="85" spans="1:7">
      <c r="A85" t="s">
        <v>166</v>
      </c>
      <c r="B85" t="s">
        <v>387</v>
      </c>
      <c r="C85" t="s">
        <v>387</v>
      </c>
      <c r="D85" t="s">
        <v>387</v>
      </c>
      <c r="G85" s="1"/>
    </row>
    <row r="86" spans="1:7">
      <c r="A86" t="s">
        <v>167</v>
      </c>
      <c r="B86" t="s">
        <v>388</v>
      </c>
      <c r="C86" t="s">
        <v>388</v>
      </c>
      <c r="D86" t="s">
        <v>388</v>
      </c>
      <c r="E86" s="1"/>
      <c r="G86" s="1"/>
    </row>
    <row r="87" spans="1:7">
      <c r="A87" t="s">
        <v>168</v>
      </c>
      <c r="B87" t="s">
        <v>389</v>
      </c>
      <c r="C87" t="s">
        <v>389</v>
      </c>
      <c r="D87" t="s">
        <v>389</v>
      </c>
      <c r="E87" s="1"/>
      <c r="G87" s="1"/>
    </row>
    <row r="88" spans="1:7">
      <c r="A88" t="s">
        <v>169</v>
      </c>
      <c r="B88" t="s">
        <v>390</v>
      </c>
      <c r="C88" t="s">
        <v>390</v>
      </c>
      <c r="D88" t="s">
        <v>390</v>
      </c>
      <c r="E88" s="1"/>
      <c r="G88" s="1"/>
    </row>
    <row r="89" spans="1:7">
      <c r="A89" t="s">
        <v>170</v>
      </c>
      <c r="B89" t="s">
        <v>391</v>
      </c>
      <c r="C89" t="s">
        <v>391</v>
      </c>
      <c r="D89" t="s">
        <v>391</v>
      </c>
      <c r="E89" s="1"/>
      <c r="G89" s="1"/>
    </row>
    <row r="90" spans="1:7">
      <c r="A90" t="s">
        <v>171</v>
      </c>
      <c r="B90" t="s">
        <v>392</v>
      </c>
      <c r="C90" t="s">
        <v>392</v>
      </c>
      <c r="D90" t="s">
        <v>392</v>
      </c>
      <c r="E90" s="1"/>
      <c r="G90" s="1"/>
    </row>
    <row r="91" spans="1:7">
      <c r="A91" t="s">
        <v>172</v>
      </c>
      <c r="B91" t="s">
        <v>393</v>
      </c>
      <c r="C91" t="s">
        <v>393</v>
      </c>
      <c r="D91" t="s">
        <v>393</v>
      </c>
      <c r="E91" s="1"/>
      <c r="G91" s="1"/>
    </row>
    <row r="92" spans="1:7">
      <c r="A92" t="s">
        <v>173</v>
      </c>
      <c r="B92" t="s">
        <v>394</v>
      </c>
      <c r="C92" t="s">
        <v>394</v>
      </c>
      <c r="D92" t="s">
        <v>394</v>
      </c>
      <c r="G92" s="1"/>
    </row>
    <row r="93" spans="1:7">
      <c r="A93" t="s">
        <v>174</v>
      </c>
      <c r="B93" t="s">
        <v>395</v>
      </c>
      <c r="C93" t="s">
        <v>395</v>
      </c>
      <c r="D93" t="s">
        <v>395</v>
      </c>
      <c r="E93" s="2"/>
    </row>
    <row r="94" spans="1:7">
      <c r="A94" t="s">
        <v>175</v>
      </c>
      <c r="B94" t="s">
        <v>396</v>
      </c>
      <c r="C94" t="s">
        <v>396</v>
      </c>
      <c r="D94" t="s">
        <v>396</v>
      </c>
    </row>
    <row r="95" spans="1:7">
      <c r="A95" t="s">
        <v>176</v>
      </c>
      <c r="B95" t="s">
        <v>397</v>
      </c>
      <c r="C95" t="s">
        <v>397</v>
      </c>
      <c r="D95" t="s">
        <v>397</v>
      </c>
      <c r="E95" s="1"/>
      <c r="G95" s="1"/>
    </row>
    <row r="96" spans="1:7">
      <c r="A96" t="s">
        <v>177</v>
      </c>
      <c r="B96" t="s">
        <v>398</v>
      </c>
      <c r="C96" t="s">
        <v>398</v>
      </c>
      <c r="D96" t="s">
        <v>398</v>
      </c>
      <c r="E96" s="1"/>
      <c r="G96" s="1"/>
    </row>
  </sheetData>
  <phoneticPr fontId="1" type="noConversion"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U95"/>
  <sheetViews>
    <sheetView tabSelected="1" workbookViewId="0">
      <pane ySplit="1" topLeftCell="A2" activePane="bottomLeft" state="frozen"/>
      <selection activeCell="J1" sqref="J1"/>
      <selection pane="bottomLeft" activeCell="N6" sqref="N6"/>
    </sheetView>
  </sheetViews>
  <sheetFormatPr baseColWidth="10" defaultColWidth="10.7109375" defaultRowHeight="15"/>
  <cols>
    <col min="1" max="1" width="6.28515625" bestFit="1" customWidth="1"/>
    <col min="2" max="2" width="5.7109375" bestFit="1" customWidth="1"/>
    <col min="3" max="3" width="10.28515625" bestFit="1" customWidth="1"/>
    <col min="4" max="4" width="8.140625" bestFit="1" customWidth="1"/>
    <col min="5" max="5" width="13.140625" bestFit="1" customWidth="1"/>
    <col min="6" max="6" width="14" bestFit="1" customWidth="1"/>
    <col min="7" max="7" width="7.5703125" style="3" bestFit="1" customWidth="1"/>
    <col min="8" max="8" width="7.28515625" style="4" bestFit="1" customWidth="1"/>
    <col min="9" max="9" width="6.85546875" style="4" bestFit="1" customWidth="1"/>
    <col min="10" max="10" width="8" style="4" bestFit="1" customWidth="1"/>
    <col min="11" max="11" width="6.5703125" style="4" bestFit="1" customWidth="1"/>
    <col min="12" max="12" width="8.42578125" style="4" bestFit="1" customWidth="1"/>
    <col min="13" max="13" width="5.7109375" bestFit="1" customWidth="1"/>
    <col min="21" max="21" width="14.140625" bestFit="1" customWidth="1"/>
  </cols>
  <sheetData>
    <row r="1" spans="1:21" s="5" customFormat="1" ht="113.25" customHeight="1">
      <c r="A1" s="5" t="s">
        <v>81</v>
      </c>
      <c r="B1" s="5" t="s">
        <v>211</v>
      </c>
      <c r="C1" s="5" t="s">
        <v>209</v>
      </c>
      <c r="D1" s="5" t="s">
        <v>192</v>
      </c>
      <c r="E1" s="5" t="s">
        <v>200</v>
      </c>
      <c r="F1" s="15" t="s">
        <v>217</v>
      </c>
      <c r="G1" s="5" t="s">
        <v>197</v>
      </c>
      <c r="H1" s="6" t="s">
        <v>178</v>
      </c>
      <c r="I1" s="6" t="s">
        <v>193</v>
      </c>
      <c r="J1" s="6" t="s">
        <v>195</v>
      </c>
      <c r="K1" s="6" t="s">
        <v>194</v>
      </c>
      <c r="L1" s="6" t="s">
        <v>196</v>
      </c>
      <c r="M1" s="5" t="s">
        <v>199</v>
      </c>
      <c r="U1" s="5" t="s">
        <v>232</v>
      </c>
    </row>
    <row r="2" spans="1:21">
      <c r="A2" t="s">
        <v>83</v>
      </c>
      <c r="B2" t="s">
        <v>207</v>
      </c>
      <c r="C2">
        <v>16</v>
      </c>
      <c r="D2" t="s">
        <v>399</v>
      </c>
      <c r="F2" s="11">
        <v>22282</v>
      </c>
      <c r="G2" s="3">
        <f>C2/25.5*3</f>
        <v>1.8823529411764706</v>
      </c>
      <c r="H2" s="4">
        <v>-2</v>
      </c>
      <c r="I2" s="4">
        <v>12</v>
      </c>
      <c r="J2" s="4">
        <v>2</v>
      </c>
      <c r="K2" s="4">
        <v>8</v>
      </c>
      <c r="L2" s="4">
        <v>2</v>
      </c>
      <c r="M2" s="17">
        <v>1</v>
      </c>
      <c r="U2" t="str">
        <f>A2&amp;"@schule.de"</f>
        <v>L1@schule.de</v>
      </c>
    </row>
    <row r="3" spans="1:21">
      <c r="A3" t="s">
        <v>84</v>
      </c>
      <c r="C3">
        <v>25.5</v>
      </c>
      <c r="D3" t="s">
        <v>400</v>
      </c>
      <c r="F3" s="11">
        <v>22283</v>
      </c>
      <c r="G3" s="3">
        <f t="shared" ref="G3:G66" si="0">C3/25.5*3</f>
        <v>3</v>
      </c>
      <c r="M3" s="17">
        <v>0</v>
      </c>
      <c r="U3" t="str">
        <f t="shared" ref="U3:U66" si="1">A3&amp;"@schule.de"</f>
        <v>L2@schule.de</v>
      </c>
    </row>
    <row r="4" spans="1:21">
      <c r="A4" t="s">
        <v>85</v>
      </c>
      <c r="B4" t="s">
        <v>207</v>
      </c>
      <c r="C4">
        <v>20</v>
      </c>
      <c r="D4" t="s">
        <v>401</v>
      </c>
      <c r="F4" s="11">
        <v>22284</v>
      </c>
      <c r="G4" s="3">
        <f t="shared" si="0"/>
        <v>2.3529411764705883</v>
      </c>
      <c r="H4" s="4">
        <v>2</v>
      </c>
      <c r="I4" s="4">
        <v>3</v>
      </c>
      <c r="J4" s="4">
        <v>0</v>
      </c>
      <c r="K4" s="4">
        <v>5</v>
      </c>
      <c r="L4" s="4">
        <v>0</v>
      </c>
      <c r="M4" s="17">
        <v>0</v>
      </c>
      <c r="U4" t="str">
        <f t="shared" si="1"/>
        <v>L3@schule.de</v>
      </c>
    </row>
    <row r="5" spans="1:21">
      <c r="A5" t="s">
        <v>86</v>
      </c>
      <c r="B5" t="s">
        <v>207</v>
      </c>
      <c r="C5">
        <v>18</v>
      </c>
      <c r="D5" t="s">
        <v>402</v>
      </c>
      <c r="F5" s="11">
        <v>22285</v>
      </c>
      <c r="G5" s="3">
        <f t="shared" si="0"/>
        <v>2.1176470588235294</v>
      </c>
      <c r="M5" s="17">
        <v>0</v>
      </c>
      <c r="U5" t="str">
        <f t="shared" si="1"/>
        <v>L4@schule.de</v>
      </c>
    </row>
    <row r="6" spans="1:21">
      <c r="A6" t="s">
        <v>87</v>
      </c>
      <c r="B6" t="s">
        <v>207</v>
      </c>
      <c r="C6">
        <v>25.5</v>
      </c>
      <c r="D6" t="s">
        <v>403</v>
      </c>
      <c r="F6" s="11">
        <v>22286</v>
      </c>
      <c r="G6" s="3">
        <f t="shared" si="0"/>
        <v>3</v>
      </c>
      <c r="M6" s="17">
        <v>0</v>
      </c>
      <c r="U6" t="str">
        <f t="shared" si="1"/>
        <v>L5@schule.de</v>
      </c>
    </row>
    <row r="7" spans="1:21">
      <c r="A7" t="s">
        <v>88</v>
      </c>
      <c r="B7" t="s">
        <v>212</v>
      </c>
      <c r="C7">
        <v>25.5</v>
      </c>
      <c r="D7" t="s">
        <v>404</v>
      </c>
      <c r="F7" s="11">
        <v>22287</v>
      </c>
      <c r="G7" s="3">
        <f t="shared" si="0"/>
        <v>3</v>
      </c>
      <c r="M7" s="17">
        <v>0</v>
      </c>
      <c r="U7" t="str">
        <f t="shared" si="1"/>
        <v>L6@schule.de</v>
      </c>
    </row>
    <row r="8" spans="1:21">
      <c r="A8" t="s">
        <v>89</v>
      </c>
      <c r="B8" t="s">
        <v>207</v>
      </c>
      <c r="C8">
        <v>17</v>
      </c>
      <c r="D8" t="s">
        <v>405</v>
      </c>
      <c r="F8" s="11">
        <v>22288</v>
      </c>
      <c r="G8" s="3">
        <f t="shared" si="0"/>
        <v>2</v>
      </c>
      <c r="M8" s="17">
        <v>0</v>
      </c>
      <c r="U8" t="str">
        <f t="shared" si="1"/>
        <v>L7@schule.de</v>
      </c>
    </row>
    <row r="9" spans="1:21">
      <c r="A9" t="s">
        <v>90</v>
      </c>
      <c r="B9" t="s">
        <v>207</v>
      </c>
      <c r="C9">
        <v>25</v>
      </c>
      <c r="D9" t="s">
        <v>406</v>
      </c>
      <c r="F9" s="11">
        <v>22289</v>
      </c>
      <c r="G9" s="3">
        <f t="shared" si="0"/>
        <v>2.9411764705882351</v>
      </c>
      <c r="M9" s="17">
        <v>0</v>
      </c>
      <c r="U9" t="str">
        <f t="shared" si="1"/>
        <v>L8@schule.de</v>
      </c>
    </row>
    <row r="10" spans="1:21">
      <c r="A10" t="s">
        <v>91</v>
      </c>
      <c r="B10" t="s">
        <v>207</v>
      </c>
      <c r="C10">
        <v>0</v>
      </c>
      <c r="D10" t="s">
        <v>407</v>
      </c>
      <c r="F10" s="11">
        <v>22290</v>
      </c>
      <c r="G10" s="3">
        <f t="shared" si="0"/>
        <v>0</v>
      </c>
      <c r="M10" s="17">
        <v>0</v>
      </c>
      <c r="U10" t="str">
        <f t="shared" si="1"/>
        <v>L9@schule.de</v>
      </c>
    </row>
    <row r="11" spans="1:21">
      <c r="A11" t="s">
        <v>92</v>
      </c>
      <c r="B11" t="s">
        <v>207</v>
      </c>
      <c r="C11">
        <v>25.5</v>
      </c>
      <c r="D11" t="s">
        <v>408</v>
      </c>
      <c r="F11" s="11">
        <v>22291</v>
      </c>
      <c r="G11" s="3">
        <f t="shared" si="0"/>
        <v>3</v>
      </c>
      <c r="M11" s="17">
        <v>0</v>
      </c>
      <c r="U11" t="str">
        <f t="shared" si="1"/>
        <v>L10@schule.de</v>
      </c>
    </row>
    <row r="12" spans="1:21">
      <c r="A12" t="s">
        <v>93</v>
      </c>
      <c r="B12" t="s">
        <v>207</v>
      </c>
      <c r="C12">
        <v>25.5</v>
      </c>
      <c r="D12" t="s">
        <v>409</v>
      </c>
      <c r="F12" s="11">
        <v>22292</v>
      </c>
      <c r="G12" s="3">
        <f t="shared" si="0"/>
        <v>3</v>
      </c>
      <c r="M12" s="17">
        <v>0</v>
      </c>
      <c r="U12" t="str">
        <f t="shared" si="1"/>
        <v>L11@schule.de</v>
      </c>
    </row>
    <row r="13" spans="1:21">
      <c r="A13" t="s">
        <v>94</v>
      </c>
      <c r="B13" t="s">
        <v>207</v>
      </c>
      <c r="C13">
        <v>25.5</v>
      </c>
      <c r="D13" t="s">
        <v>410</v>
      </c>
      <c r="F13" s="11">
        <v>22293</v>
      </c>
      <c r="G13" s="3">
        <f t="shared" si="0"/>
        <v>3</v>
      </c>
      <c r="M13" s="17">
        <v>0</v>
      </c>
      <c r="U13" t="str">
        <f t="shared" si="1"/>
        <v>L12@schule.de</v>
      </c>
    </row>
    <row r="14" spans="1:21">
      <c r="A14" t="s">
        <v>95</v>
      </c>
      <c r="B14" t="s">
        <v>207</v>
      </c>
      <c r="C14">
        <v>20</v>
      </c>
      <c r="D14" t="s">
        <v>411</v>
      </c>
      <c r="F14" s="11">
        <v>22294</v>
      </c>
      <c r="G14" s="3">
        <f t="shared" si="0"/>
        <v>2.3529411764705883</v>
      </c>
      <c r="M14" s="17">
        <v>0</v>
      </c>
      <c r="U14" t="str">
        <f t="shared" si="1"/>
        <v>L13@schule.de</v>
      </c>
    </row>
    <row r="15" spans="1:21">
      <c r="A15" t="s">
        <v>96</v>
      </c>
      <c r="B15" t="s">
        <v>207</v>
      </c>
      <c r="C15">
        <v>25.5</v>
      </c>
      <c r="D15" t="s">
        <v>412</v>
      </c>
      <c r="F15" s="11">
        <v>22295</v>
      </c>
      <c r="G15" s="3">
        <f t="shared" si="0"/>
        <v>3</v>
      </c>
      <c r="M15" s="17">
        <v>0</v>
      </c>
      <c r="U15" t="str">
        <f t="shared" si="1"/>
        <v>L14@schule.de</v>
      </c>
    </row>
    <row r="16" spans="1:21">
      <c r="A16" t="s">
        <v>97</v>
      </c>
      <c r="C16">
        <v>10</v>
      </c>
      <c r="D16" t="s">
        <v>413</v>
      </c>
      <c r="F16" s="11">
        <v>22296</v>
      </c>
      <c r="G16" s="3">
        <f t="shared" si="0"/>
        <v>1.1764705882352942</v>
      </c>
      <c r="M16" s="17">
        <v>0</v>
      </c>
      <c r="U16" t="str">
        <f t="shared" si="1"/>
        <v>L15@schule.de</v>
      </c>
    </row>
    <row r="17" spans="1:21">
      <c r="A17" t="s">
        <v>98</v>
      </c>
      <c r="B17" t="s">
        <v>207</v>
      </c>
      <c r="C17">
        <v>7</v>
      </c>
      <c r="D17" t="s">
        <v>414</v>
      </c>
      <c r="F17" s="11">
        <v>22297</v>
      </c>
      <c r="G17" s="3">
        <f t="shared" si="0"/>
        <v>0.82352941176470595</v>
      </c>
      <c r="M17" s="17">
        <v>0</v>
      </c>
      <c r="U17" t="str">
        <f t="shared" si="1"/>
        <v>L16@schule.de</v>
      </c>
    </row>
    <row r="18" spans="1:21">
      <c r="A18" t="s">
        <v>99</v>
      </c>
      <c r="B18" t="s">
        <v>207</v>
      </c>
      <c r="C18">
        <v>25.5</v>
      </c>
      <c r="D18" t="s">
        <v>415</v>
      </c>
      <c r="F18" s="11">
        <v>22298</v>
      </c>
      <c r="G18" s="3">
        <f t="shared" si="0"/>
        <v>3</v>
      </c>
      <c r="M18" s="17">
        <v>0</v>
      </c>
      <c r="U18" t="str">
        <f t="shared" si="1"/>
        <v>L17@schule.de</v>
      </c>
    </row>
    <row r="19" spans="1:21">
      <c r="A19" t="s">
        <v>100</v>
      </c>
      <c r="B19" t="s">
        <v>207</v>
      </c>
      <c r="C19">
        <v>18</v>
      </c>
      <c r="D19" t="s">
        <v>416</v>
      </c>
      <c r="F19" s="11">
        <v>22299</v>
      </c>
      <c r="G19" s="3">
        <f t="shared" si="0"/>
        <v>2.1176470588235294</v>
      </c>
      <c r="M19" s="17">
        <v>0</v>
      </c>
      <c r="U19" t="str">
        <f t="shared" si="1"/>
        <v>L18@schule.de</v>
      </c>
    </row>
    <row r="20" spans="1:21">
      <c r="A20" t="s">
        <v>101</v>
      </c>
      <c r="B20" t="s">
        <v>207</v>
      </c>
      <c r="C20">
        <v>19</v>
      </c>
      <c r="D20" t="s">
        <v>417</v>
      </c>
      <c r="F20" s="11">
        <v>22300</v>
      </c>
      <c r="G20" s="3">
        <f t="shared" si="0"/>
        <v>2.2352941176470589</v>
      </c>
      <c r="M20" s="17">
        <v>0</v>
      </c>
      <c r="U20" t="str">
        <f t="shared" si="1"/>
        <v>L19@schule.de</v>
      </c>
    </row>
    <row r="21" spans="1:21">
      <c r="A21" t="s">
        <v>102</v>
      </c>
      <c r="B21" t="s">
        <v>207</v>
      </c>
      <c r="C21">
        <v>25.5</v>
      </c>
      <c r="D21" t="s">
        <v>418</v>
      </c>
      <c r="F21" s="11">
        <v>22301</v>
      </c>
      <c r="G21" s="3">
        <f t="shared" si="0"/>
        <v>3</v>
      </c>
      <c r="M21" s="17">
        <v>0</v>
      </c>
      <c r="U21" t="str">
        <f t="shared" si="1"/>
        <v>L20@schule.de</v>
      </c>
    </row>
    <row r="22" spans="1:21">
      <c r="A22" t="s">
        <v>103</v>
      </c>
      <c r="B22" t="s">
        <v>207</v>
      </c>
      <c r="C22">
        <v>19.5</v>
      </c>
      <c r="D22" t="s">
        <v>419</v>
      </c>
      <c r="F22" s="11">
        <v>22302</v>
      </c>
      <c r="G22" s="3">
        <f t="shared" si="0"/>
        <v>2.2941176470588234</v>
      </c>
      <c r="M22" s="17">
        <v>0</v>
      </c>
      <c r="U22" t="str">
        <f t="shared" si="1"/>
        <v>L21@schule.de</v>
      </c>
    </row>
    <row r="23" spans="1:21">
      <c r="A23" t="s">
        <v>104</v>
      </c>
      <c r="B23" t="s">
        <v>207</v>
      </c>
      <c r="C23">
        <v>9</v>
      </c>
      <c r="D23" t="s">
        <v>420</v>
      </c>
      <c r="F23" s="11">
        <v>22303</v>
      </c>
      <c r="G23" s="3">
        <f t="shared" si="0"/>
        <v>1.0588235294117647</v>
      </c>
      <c r="M23" s="17">
        <v>0</v>
      </c>
      <c r="U23" t="str">
        <f t="shared" si="1"/>
        <v>L22@schule.de</v>
      </c>
    </row>
    <row r="24" spans="1:21">
      <c r="A24" t="s">
        <v>105</v>
      </c>
      <c r="B24" t="s">
        <v>207</v>
      </c>
      <c r="C24">
        <v>14</v>
      </c>
      <c r="D24" t="s">
        <v>421</v>
      </c>
      <c r="F24" s="11">
        <v>22304</v>
      </c>
      <c r="G24" s="3">
        <f t="shared" si="0"/>
        <v>1.6470588235294119</v>
      </c>
      <c r="M24" s="17">
        <v>0</v>
      </c>
      <c r="U24" t="str">
        <f t="shared" si="1"/>
        <v>L23@schule.de</v>
      </c>
    </row>
    <row r="25" spans="1:21">
      <c r="A25" t="s">
        <v>106</v>
      </c>
      <c r="B25" t="s">
        <v>207</v>
      </c>
      <c r="C25">
        <v>15</v>
      </c>
      <c r="D25" t="s">
        <v>422</v>
      </c>
      <c r="F25" s="11">
        <v>22305</v>
      </c>
      <c r="G25" s="3">
        <f t="shared" si="0"/>
        <v>1.7647058823529411</v>
      </c>
      <c r="M25" s="17">
        <v>0</v>
      </c>
      <c r="U25" t="str">
        <f t="shared" si="1"/>
        <v>L24@schule.de</v>
      </c>
    </row>
    <row r="26" spans="1:21">
      <c r="A26" t="s">
        <v>107</v>
      </c>
      <c r="B26" t="s">
        <v>207</v>
      </c>
      <c r="C26">
        <v>0</v>
      </c>
      <c r="D26" t="s">
        <v>423</v>
      </c>
      <c r="F26" s="11">
        <v>22306</v>
      </c>
      <c r="G26" s="3">
        <f t="shared" si="0"/>
        <v>0</v>
      </c>
      <c r="M26" s="17">
        <v>0</v>
      </c>
      <c r="U26" t="str">
        <f t="shared" si="1"/>
        <v>L25@schule.de</v>
      </c>
    </row>
    <row r="27" spans="1:21">
      <c r="A27" t="s">
        <v>108</v>
      </c>
      <c r="B27" t="s">
        <v>207</v>
      </c>
      <c r="C27">
        <v>13</v>
      </c>
      <c r="D27" t="s">
        <v>424</v>
      </c>
      <c r="F27" s="11">
        <v>22307</v>
      </c>
      <c r="G27" s="3">
        <f t="shared" si="0"/>
        <v>1.5294117647058822</v>
      </c>
      <c r="M27" s="17">
        <v>0</v>
      </c>
      <c r="U27" t="str">
        <f t="shared" si="1"/>
        <v>L26@schule.de</v>
      </c>
    </row>
    <row r="28" spans="1:21">
      <c r="A28" t="s">
        <v>109</v>
      </c>
      <c r="B28" t="s">
        <v>207</v>
      </c>
      <c r="C28">
        <v>23</v>
      </c>
      <c r="D28" t="s">
        <v>425</v>
      </c>
      <c r="F28" s="11">
        <v>22308</v>
      </c>
      <c r="G28" s="3">
        <f t="shared" si="0"/>
        <v>2.7058823529411766</v>
      </c>
      <c r="M28" s="17">
        <v>0</v>
      </c>
      <c r="U28" t="str">
        <f t="shared" si="1"/>
        <v>L27@schule.de</v>
      </c>
    </row>
    <row r="29" spans="1:21">
      <c r="A29" t="s">
        <v>110</v>
      </c>
      <c r="B29" t="s">
        <v>207</v>
      </c>
      <c r="C29">
        <v>25.5</v>
      </c>
      <c r="D29" t="s">
        <v>426</v>
      </c>
      <c r="F29" s="11">
        <v>22309</v>
      </c>
      <c r="G29" s="3">
        <f t="shared" si="0"/>
        <v>3</v>
      </c>
      <c r="M29" s="17">
        <v>0</v>
      </c>
      <c r="U29" t="str">
        <f t="shared" si="1"/>
        <v>L28@schule.de</v>
      </c>
    </row>
    <row r="30" spans="1:21">
      <c r="A30" t="s">
        <v>111</v>
      </c>
      <c r="B30" t="s">
        <v>207</v>
      </c>
      <c r="C30">
        <v>19</v>
      </c>
      <c r="D30" t="s">
        <v>427</v>
      </c>
      <c r="F30" s="11">
        <v>22310</v>
      </c>
      <c r="G30" s="3">
        <f t="shared" si="0"/>
        <v>2.2352941176470589</v>
      </c>
      <c r="M30" s="17">
        <v>0</v>
      </c>
      <c r="U30" t="str">
        <f t="shared" si="1"/>
        <v>L29@schule.de</v>
      </c>
    </row>
    <row r="31" spans="1:21">
      <c r="A31" t="s">
        <v>112</v>
      </c>
      <c r="B31" t="s">
        <v>207</v>
      </c>
      <c r="C31">
        <v>13</v>
      </c>
      <c r="D31" t="s">
        <v>428</v>
      </c>
      <c r="F31" s="11">
        <v>22311</v>
      </c>
      <c r="G31" s="3">
        <f t="shared" si="0"/>
        <v>1.5294117647058822</v>
      </c>
      <c r="M31" s="17">
        <v>0</v>
      </c>
      <c r="U31" t="str">
        <f t="shared" si="1"/>
        <v>L30@schule.de</v>
      </c>
    </row>
    <row r="32" spans="1:21">
      <c r="A32" t="s">
        <v>113</v>
      </c>
      <c r="B32" t="s">
        <v>207</v>
      </c>
      <c r="C32">
        <v>25.5</v>
      </c>
      <c r="D32" t="s">
        <v>429</v>
      </c>
      <c r="F32" s="11">
        <v>22312</v>
      </c>
      <c r="G32" s="3">
        <f t="shared" si="0"/>
        <v>3</v>
      </c>
      <c r="M32" s="17">
        <v>0</v>
      </c>
      <c r="U32" t="str">
        <f t="shared" si="1"/>
        <v>L31@schule.de</v>
      </c>
    </row>
    <row r="33" spans="1:21">
      <c r="A33" t="s">
        <v>114</v>
      </c>
      <c r="B33" t="s">
        <v>207</v>
      </c>
      <c r="C33">
        <v>0</v>
      </c>
      <c r="D33" t="s">
        <v>430</v>
      </c>
      <c r="F33" s="11">
        <v>22313</v>
      </c>
      <c r="G33" s="3">
        <f t="shared" si="0"/>
        <v>0</v>
      </c>
      <c r="M33" s="17">
        <v>0</v>
      </c>
      <c r="U33" t="str">
        <f t="shared" si="1"/>
        <v>L32@schule.de</v>
      </c>
    </row>
    <row r="34" spans="1:21">
      <c r="A34" t="s">
        <v>115</v>
      </c>
      <c r="B34" t="s">
        <v>207</v>
      </c>
      <c r="C34">
        <v>25.5</v>
      </c>
      <c r="D34" t="s">
        <v>431</v>
      </c>
      <c r="F34" s="11">
        <v>22314</v>
      </c>
      <c r="G34" s="3">
        <f t="shared" si="0"/>
        <v>3</v>
      </c>
      <c r="M34" s="17">
        <v>0</v>
      </c>
      <c r="U34" t="str">
        <f t="shared" si="1"/>
        <v>L33@schule.de</v>
      </c>
    </row>
    <row r="35" spans="1:21">
      <c r="A35" t="s">
        <v>116</v>
      </c>
      <c r="B35" t="s">
        <v>207</v>
      </c>
      <c r="C35">
        <v>25.5</v>
      </c>
      <c r="D35" t="s">
        <v>432</v>
      </c>
      <c r="F35" s="11">
        <v>22315</v>
      </c>
      <c r="G35" s="3">
        <f t="shared" si="0"/>
        <v>3</v>
      </c>
      <c r="M35" s="17">
        <v>0</v>
      </c>
      <c r="U35" t="str">
        <f t="shared" si="1"/>
        <v>L34@schule.de</v>
      </c>
    </row>
    <row r="36" spans="1:21">
      <c r="A36" t="s">
        <v>117</v>
      </c>
      <c r="B36" t="s">
        <v>207</v>
      </c>
      <c r="C36">
        <v>16</v>
      </c>
      <c r="D36" t="s">
        <v>433</v>
      </c>
      <c r="F36" s="11">
        <v>22316</v>
      </c>
      <c r="G36" s="3">
        <f t="shared" si="0"/>
        <v>1.8823529411764706</v>
      </c>
      <c r="M36" s="17">
        <v>0</v>
      </c>
      <c r="U36" t="str">
        <f t="shared" si="1"/>
        <v>L35@schule.de</v>
      </c>
    </row>
    <row r="37" spans="1:21">
      <c r="A37" t="s">
        <v>118</v>
      </c>
      <c r="B37" t="s">
        <v>207</v>
      </c>
      <c r="C37">
        <v>25.5</v>
      </c>
      <c r="D37" t="s">
        <v>434</v>
      </c>
      <c r="F37" s="11">
        <v>22317</v>
      </c>
      <c r="G37" s="3">
        <f t="shared" si="0"/>
        <v>3</v>
      </c>
      <c r="M37" s="17">
        <v>0</v>
      </c>
      <c r="U37" t="str">
        <f t="shared" si="1"/>
        <v>L36@schule.de</v>
      </c>
    </row>
    <row r="38" spans="1:21">
      <c r="A38" t="s">
        <v>119</v>
      </c>
      <c r="B38" t="s">
        <v>207</v>
      </c>
      <c r="C38">
        <v>22</v>
      </c>
      <c r="D38" t="s">
        <v>435</v>
      </c>
      <c r="F38" s="11">
        <v>22318</v>
      </c>
      <c r="G38" s="3">
        <f t="shared" si="0"/>
        <v>2.5882352941176472</v>
      </c>
      <c r="M38" s="17">
        <v>0</v>
      </c>
      <c r="U38" t="str">
        <f t="shared" si="1"/>
        <v>L37@schule.de</v>
      </c>
    </row>
    <row r="39" spans="1:21">
      <c r="A39" t="s">
        <v>120</v>
      </c>
      <c r="B39" t="s">
        <v>207</v>
      </c>
      <c r="C39">
        <v>9</v>
      </c>
      <c r="D39" t="s">
        <v>436</v>
      </c>
      <c r="F39" s="11">
        <v>22319</v>
      </c>
      <c r="G39" s="3">
        <f t="shared" si="0"/>
        <v>1.0588235294117647</v>
      </c>
      <c r="M39" s="17">
        <v>0</v>
      </c>
      <c r="U39" t="str">
        <f t="shared" si="1"/>
        <v>L38@schule.de</v>
      </c>
    </row>
    <row r="40" spans="1:21">
      <c r="A40" t="s">
        <v>121</v>
      </c>
      <c r="B40" t="s">
        <v>207</v>
      </c>
      <c r="C40">
        <v>0</v>
      </c>
      <c r="D40" t="s">
        <v>437</v>
      </c>
      <c r="F40" s="11">
        <v>22320</v>
      </c>
      <c r="G40" s="3">
        <f t="shared" si="0"/>
        <v>0</v>
      </c>
      <c r="M40" s="17">
        <v>0</v>
      </c>
      <c r="U40" t="str">
        <f t="shared" si="1"/>
        <v>L39@schule.de</v>
      </c>
    </row>
    <row r="41" spans="1:21">
      <c r="A41" t="s">
        <v>122</v>
      </c>
      <c r="B41" t="s">
        <v>207</v>
      </c>
      <c r="C41">
        <v>9</v>
      </c>
      <c r="D41" t="s">
        <v>438</v>
      </c>
      <c r="F41" s="11">
        <v>22321</v>
      </c>
      <c r="G41" s="3">
        <f t="shared" si="0"/>
        <v>1.0588235294117647</v>
      </c>
      <c r="M41" s="17">
        <v>0</v>
      </c>
      <c r="U41" t="str">
        <f t="shared" si="1"/>
        <v>L40@schule.de</v>
      </c>
    </row>
    <row r="42" spans="1:21">
      <c r="A42" t="s">
        <v>123</v>
      </c>
      <c r="C42">
        <v>14</v>
      </c>
      <c r="D42" t="s">
        <v>439</v>
      </c>
      <c r="F42" s="11">
        <v>22322</v>
      </c>
      <c r="G42" s="3">
        <f t="shared" si="0"/>
        <v>1.6470588235294119</v>
      </c>
      <c r="M42" s="17">
        <v>0</v>
      </c>
      <c r="U42" t="str">
        <f t="shared" si="1"/>
        <v>L41@schule.de</v>
      </c>
    </row>
    <row r="43" spans="1:21">
      <c r="A43" t="s">
        <v>124</v>
      </c>
      <c r="B43" t="s">
        <v>207</v>
      </c>
      <c r="C43">
        <v>25.5</v>
      </c>
      <c r="D43" t="s">
        <v>440</v>
      </c>
      <c r="F43" s="11">
        <v>22323</v>
      </c>
      <c r="G43" s="3">
        <f t="shared" si="0"/>
        <v>3</v>
      </c>
      <c r="M43" s="17">
        <v>0</v>
      </c>
      <c r="U43" t="str">
        <f t="shared" si="1"/>
        <v>L42@schule.de</v>
      </c>
    </row>
    <row r="44" spans="1:21">
      <c r="A44" t="s">
        <v>125</v>
      </c>
      <c r="B44" t="s">
        <v>207</v>
      </c>
      <c r="C44">
        <v>12</v>
      </c>
      <c r="D44" t="s">
        <v>441</v>
      </c>
      <c r="F44" s="11">
        <v>22324</v>
      </c>
      <c r="G44" s="3">
        <f t="shared" si="0"/>
        <v>1.4117647058823528</v>
      </c>
      <c r="M44" s="17">
        <v>0</v>
      </c>
      <c r="U44" t="str">
        <f t="shared" si="1"/>
        <v>L43@schule.de</v>
      </c>
    </row>
    <row r="45" spans="1:21">
      <c r="A45" t="s">
        <v>126</v>
      </c>
      <c r="B45" t="s">
        <v>207</v>
      </c>
      <c r="C45">
        <v>9</v>
      </c>
      <c r="D45" t="s">
        <v>442</v>
      </c>
      <c r="F45" s="11">
        <v>22325</v>
      </c>
      <c r="G45" s="3">
        <f t="shared" si="0"/>
        <v>1.0588235294117647</v>
      </c>
      <c r="M45" s="17">
        <v>0</v>
      </c>
      <c r="U45" t="str">
        <f t="shared" si="1"/>
        <v>L44@schule.de</v>
      </c>
    </row>
    <row r="46" spans="1:21">
      <c r="A46" t="s">
        <v>127</v>
      </c>
      <c r="B46" t="s">
        <v>207</v>
      </c>
      <c r="C46">
        <v>25.5</v>
      </c>
      <c r="D46" t="s">
        <v>443</v>
      </c>
      <c r="F46" s="11">
        <v>22326</v>
      </c>
      <c r="G46" s="3">
        <f t="shared" si="0"/>
        <v>3</v>
      </c>
      <c r="M46" s="17">
        <v>0</v>
      </c>
      <c r="U46" t="str">
        <f t="shared" si="1"/>
        <v>L45@schule.de</v>
      </c>
    </row>
    <row r="47" spans="1:21">
      <c r="A47" t="s">
        <v>128</v>
      </c>
      <c r="B47" t="s">
        <v>207</v>
      </c>
      <c r="C47">
        <v>25.5</v>
      </c>
      <c r="D47" t="s">
        <v>444</v>
      </c>
      <c r="F47" s="11">
        <v>22327</v>
      </c>
      <c r="G47" s="3">
        <f t="shared" si="0"/>
        <v>3</v>
      </c>
      <c r="M47" s="17">
        <v>0</v>
      </c>
      <c r="U47" t="str">
        <f t="shared" si="1"/>
        <v>L46@schule.de</v>
      </c>
    </row>
    <row r="48" spans="1:21">
      <c r="A48" t="s">
        <v>129</v>
      </c>
      <c r="B48" t="s">
        <v>207</v>
      </c>
      <c r="C48">
        <v>25.5</v>
      </c>
      <c r="D48" t="s">
        <v>445</v>
      </c>
      <c r="F48" s="11">
        <v>22328</v>
      </c>
      <c r="G48" s="3">
        <f t="shared" si="0"/>
        <v>3</v>
      </c>
      <c r="M48" s="17">
        <v>0</v>
      </c>
      <c r="U48" t="str">
        <f t="shared" si="1"/>
        <v>L47@schule.de</v>
      </c>
    </row>
    <row r="49" spans="1:21">
      <c r="A49" t="s">
        <v>130</v>
      </c>
      <c r="B49" t="s">
        <v>207</v>
      </c>
      <c r="C49">
        <v>25.5</v>
      </c>
      <c r="D49" t="s">
        <v>446</v>
      </c>
      <c r="F49" s="11">
        <v>22329</v>
      </c>
      <c r="G49" s="3">
        <f t="shared" si="0"/>
        <v>3</v>
      </c>
      <c r="M49" s="17">
        <v>0</v>
      </c>
      <c r="U49" t="str">
        <f t="shared" si="1"/>
        <v>L48@schule.de</v>
      </c>
    </row>
    <row r="50" spans="1:21">
      <c r="A50" t="s">
        <v>131</v>
      </c>
      <c r="B50" t="s">
        <v>207</v>
      </c>
      <c r="C50">
        <v>25.5</v>
      </c>
      <c r="D50" t="s">
        <v>447</v>
      </c>
      <c r="F50" s="11">
        <v>22330</v>
      </c>
      <c r="G50" s="3">
        <f t="shared" si="0"/>
        <v>3</v>
      </c>
      <c r="M50" s="17">
        <v>0</v>
      </c>
      <c r="U50" t="str">
        <f t="shared" si="1"/>
        <v>L49@schule.de</v>
      </c>
    </row>
    <row r="51" spans="1:21">
      <c r="A51" t="s">
        <v>132</v>
      </c>
      <c r="B51" t="s">
        <v>207</v>
      </c>
      <c r="C51">
        <v>24.5</v>
      </c>
      <c r="D51" t="s">
        <v>448</v>
      </c>
      <c r="F51" s="11">
        <v>22331</v>
      </c>
      <c r="G51" s="3">
        <f t="shared" si="0"/>
        <v>2.8823529411764706</v>
      </c>
      <c r="M51" s="17">
        <v>0</v>
      </c>
      <c r="U51" t="str">
        <f t="shared" si="1"/>
        <v>L50@schule.de</v>
      </c>
    </row>
    <row r="52" spans="1:21">
      <c r="A52" t="s">
        <v>133</v>
      </c>
      <c r="B52" t="s">
        <v>207</v>
      </c>
      <c r="C52">
        <v>25.5</v>
      </c>
      <c r="D52" t="s">
        <v>449</v>
      </c>
      <c r="F52" s="11">
        <v>22332</v>
      </c>
      <c r="G52" s="3">
        <f t="shared" si="0"/>
        <v>3</v>
      </c>
      <c r="M52" s="17">
        <v>0</v>
      </c>
      <c r="U52" t="str">
        <f t="shared" si="1"/>
        <v>L51@schule.de</v>
      </c>
    </row>
    <row r="53" spans="1:21">
      <c r="A53" t="s">
        <v>134</v>
      </c>
      <c r="B53" t="s">
        <v>207</v>
      </c>
      <c r="C53">
        <v>9</v>
      </c>
      <c r="D53" t="s">
        <v>450</v>
      </c>
      <c r="F53" s="11">
        <v>22333</v>
      </c>
      <c r="G53" s="3">
        <f t="shared" si="0"/>
        <v>1.0588235294117647</v>
      </c>
      <c r="M53" s="17">
        <v>0</v>
      </c>
      <c r="U53" t="str">
        <f t="shared" si="1"/>
        <v>L52@schule.de</v>
      </c>
    </row>
    <row r="54" spans="1:21">
      <c r="A54" t="s">
        <v>135</v>
      </c>
      <c r="B54" t="s">
        <v>207</v>
      </c>
      <c r="C54">
        <v>18</v>
      </c>
      <c r="D54" t="s">
        <v>451</v>
      </c>
      <c r="F54" s="11">
        <v>22334</v>
      </c>
      <c r="G54" s="3">
        <f t="shared" si="0"/>
        <v>2.1176470588235294</v>
      </c>
      <c r="M54" s="17">
        <v>0</v>
      </c>
      <c r="U54" t="str">
        <f t="shared" si="1"/>
        <v>L53@schule.de</v>
      </c>
    </row>
    <row r="55" spans="1:21">
      <c r="A55" t="s">
        <v>136</v>
      </c>
      <c r="B55" t="s">
        <v>207</v>
      </c>
      <c r="C55">
        <v>24.5</v>
      </c>
      <c r="D55" t="s">
        <v>452</v>
      </c>
      <c r="F55" s="11">
        <v>22335</v>
      </c>
      <c r="G55" s="3">
        <f t="shared" si="0"/>
        <v>2.8823529411764706</v>
      </c>
      <c r="M55" s="17">
        <v>0</v>
      </c>
      <c r="U55" t="str">
        <f t="shared" si="1"/>
        <v>L54@schule.de</v>
      </c>
    </row>
    <row r="56" spans="1:21">
      <c r="A56" t="s">
        <v>137</v>
      </c>
      <c r="B56" t="s">
        <v>207</v>
      </c>
      <c r="C56">
        <v>22.5</v>
      </c>
      <c r="D56" t="s">
        <v>453</v>
      </c>
      <c r="F56" s="11">
        <v>22336</v>
      </c>
      <c r="G56" s="3">
        <f t="shared" si="0"/>
        <v>2.6470588235294117</v>
      </c>
      <c r="M56" s="17">
        <v>0</v>
      </c>
      <c r="U56" t="str">
        <f t="shared" si="1"/>
        <v>L55@schule.de</v>
      </c>
    </row>
    <row r="57" spans="1:21">
      <c r="A57" t="s">
        <v>138</v>
      </c>
      <c r="B57" t="s">
        <v>207</v>
      </c>
      <c r="C57">
        <v>9</v>
      </c>
      <c r="D57" t="s">
        <v>454</v>
      </c>
      <c r="F57" s="11">
        <v>22337</v>
      </c>
      <c r="G57" s="3">
        <f t="shared" si="0"/>
        <v>1.0588235294117647</v>
      </c>
      <c r="M57" s="17">
        <v>0</v>
      </c>
      <c r="U57" t="str">
        <f t="shared" si="1"/>
        <v>L56@schule.de</v>
      </c>
    </row>
    <row r="58" spans="1:21">
      <c r="A58" t="s">
        <v>139</v>
      </c>
      <c r="C58">
        <v>11.5</v>
      </c>
      <c r="D58" t="s">
        <v>455</v>
      </c>
      <c r="F58" s="11">
        <v>22338</v>
      </c>
      <c r="G58" s="3">
        <f t="shared" si="0"/>
        <v>1.3529411764705883</v>
      </c>
      <c r="M58" s="17">
        <v>0</v>
      </c>
      <c r="U58" t="str">
        <f t="shared" si="1"/>
        <v>L57@schule.de</v>
      </c>
    </row>
    <row r="59" spans="1:21">
      <c r="A59" t="s">
        <v>140</v>
      </c>
      <c r="B59" t="s">
        <v>207</v>
      </c>
      <c r="C59">
        <v>25.5</v>
      </c>
      <c r="D59" t="s">
        <v>456</v>
      </c>
      <c r="F59" s="11">
        <v>22339</v>
      </c>
      <c r="G59" s="3">
        <f t="shared" si="0"/>
        <v>3</v>
      </c>
      <c r="M59" s="17">
        <v>0</v>
      </c>
      <c r="U59" t="str">
        <f t="shared" si="1"/>
        <v>L58@schule.de</v>
      </c>
    </row>
    <row r="60" spans="1:21">
      <c r="A60" t="s">
        <v>141</v>
      </c>
      <c r="B60" t="s">
        <v>207</v>
      </c>
      <c r="C60">
        <v>12.75</v>
      </c>
      <c r="D60" t="s">
        <v>457</v>
      </c>
      <c r="F60" s="11">
        <v>22340</v>
      </c>
      <c r="G60" s="3">
        <f t="shared" si="0"/>
        <v>1.5</v>
      </c>
      <c r="M60" s="17">
        <v>0</v>
      </c>
      <c r="U60" t="str">
        <f t="shared" si="1"/>
        <v>L59@schule.de</v>
      </c>
    </row>
    <row r="61" spans="1:21">
      <c r="A61" t="s">
        <v>142</v>
      </c>
      <c r="C61">
        <v>18</v>
      </c>
      <c r="D61" t="s">
        <v>458</v>
      </c>
      <c r="F61" s="11">
        <v>22341</v>
      </c>
      <c r="G61" s="3">
        <f t="shared" si="0"/>
        <v>2.1176470588235294</v>
      </c>
      <c r="M61" s="17">
        <v>0</v>
      </c>
      <c r="U61" t="str">
        <f t="shared" si="1"/>
        <v>L60@schule.de</v>
      </c>
    </row>
    <row r="62" spans="1:21">
      <c r="A62" t="s">
        <v>143</v>
      </c>
      <c r="B62" t="s">
        <v>207</v>
      </c>
      <c r="C62">
        <v>20</v>
      </c>
      <c r="D62" t="s">
        <v>459</v>
      </c>
      <c r="F62" s="11">
        <v>22342</v>
      </c>
      <c r="G62" s="3">
        <f t="shared" si="0"/>
        <v>2.3529411764705883</v>
      </c>
      <c r="M62" s="17">
        <v>0</v>
      </c>
      <c r="U62" t="str">
        <f t="shared" si="1"/>
        <v>L61@schule.de</v>
      </c>
    </row>
    <row r="63" spans="1:21">
      <c r="A63" t="s">
        <v>144</v>
      </c>
      <c r="B63" t="s">
        <v>207</v>
      </c>
      <c r="C63">
        <v>17.5</v>
      </c>
      <c r="D63" t="s">
        <v>460</v>
      </c>
      <c r="F63" s="11">
        <v>22343</v>
      </c>
      <c r="G63" s="3">
        <f t="shared" si="0"/>
        <v>2.0588235294117645</v>
      </c>
      <c r="M63" s="17">
        <v>0</v>
      </c>
      <c r="U63" t="str">
        <f t="shared" si="1"/>
        <v>L62@schule.de</v>
      </c>
    </row>
    <row r="64" spans="1:21">
      <c r="A64" t="s">
        <v>145</v>
      </c>
      <c r="C64">
        <v>6</v>
      </c>
      <c r="D64" t="s">
        <v>461</v>
      </c>
      <c r="F64" s="11">
        <v>22344</v>
      </c>
      <c r="G64" s="3">
        <f t="shared" si="0"/>
        <v>0.70588235294117641</v>
      </c>
      <c r="M64" s="17">
        <v>0</v>
      </c>
      <c r="U64" t="str">
        <f t="shared" si="1"/>
        <v>L63@schule.de</v>
      </c>
    </row>
    <row r="65" spans="1:21">
      <c r="A65" t="s">
        <v>146</v>
      </c>
      <c r="B65" t="s">
        <v>207</v>
      </c>
      <c r="C65">
        <v>25.5</v>
      </c>
      <c r="D65" t="s">
        <v>462</v>
      </c>
      <c r="F65" s="11">
        <v>22345</v>
      </c>
      <c r="G65" s="3">
        <f t="shared" si="0"/>
        <v>3</v>
      </c>
      <c r="M65" s="17">
        <v>0</v>
      </c>
      <c r="U65" t="str">
        <f t="shared" si="1"/>
        <v>L64@schule.de</v>
      </c>
    </row>
    <row r="66" spans="1:21">
      <c r="A66" t="s">
        <v>147</v>
      </c>
      <c r="B66" t="s">
        <v>207</v>
      </c>
      <c r="C66">
        <v>13</v>
      </c>
      <c r="D66" t="s">
        <v>463</v>
      </c>
      <c r="F66" s="11">
        <v>22346</v>
      </c>
      <c r="G66" s="3">
        <f t="shared" si="0"/>
        <v>1.5294117647058822</v>
      </c>
      <c r="M66" s="17">
        <v>0</v>
      </c>
      <c r="U66" t="str">
        <f t="shared" si="1"/>
        <v>L65@schule.de</v>
      </c>
    </row>
    <row r="67" spans="1:21">
      <c r="A67" t="s">
        <v>148</v>
      </c>
      <c r="B67" t="s">
        <v>207</v>
      </c>
      <c r="C67">
        <v>19.5</v>
      </c>
      <c r="D67" t="s">
        <v>464</v>
      </c>
      <c r="F67" s="11">
        <v>22347</v>
      </c>
      <c r="G67" s="3">
        <f t="shared" ref="G67:G95" si="2">C67/25.5*3</f>
        <v>2.2941176470588234</v>
      </c>
      <c r="M67" s="17">
        <v>0</v>
      </c>
      <c r="U67" t="str">
        <f t="shared" ref="U67:U95" si="3">A67&amp;"@schule.de"</f>
        <v>L66@schule.de</v>
      </c>
    </row>
    <row r="68" spans="1:21">
      <c r="A68" t="s">
        <v>149</v>
      </c>
      <c r="B68" t="s">
        <v>207</v>
      </c>
      <c r="C68">
        <v>16</v>
      </c>
      <c r="D68" t="s">
        <v>465</v>
      </c>
      <c r="F68" s="11">
        <v>22348</v>
      </c>
      <c r="G68" s="3">
        <f t="shared" si="2"/>
        <v>1.8823529411764706</v>
      </c>
      <c r="M68" s="17">
        <v>0</v>
      </c>
      <c r="U68" t="str">
        <f t="shared" si="3"/>
        <v>L67@schule.de</v>
      </c>
    </row>
    <row r="69" spans="1:21">
      <c r="A69" t="s">
        <v>150</v>
      </c>
      <c r="B69" t="s">
        <v>207</v>
      </c>
      <c r="C69">
        <v>18</v>
      </c>
      <c r="D69" t="s">
        <v>466</v>
      </c>
      <c r="F69" s="11">
        <v>22349</v>
      </c>
      <c r="G69" s="3">
        <f t="shared" si="2"/>
        <v>2.1176470588235294</v>
      </c>
      <c r="M69" s="17">
        <v>0</v>
      </c>
      <c r="U69" t="str">
        <f t="shared" si="3"/>
        <v>L68@schule.de</v>
      </c>
    </row>
    <row r="70" spans="1:21">
      <c r="A70" t="s">
        <v>151</v>
      </c>
      <c r="B70" t="s">
        <v>207</v>
      </c>
      <c r="C70">
        <v>25.5</v>
      </c>
      <c r="D70" t="s">
        <v>467</v>
      </c>
      <c r="F70" s="11">
        <v>22350</v>
      </c>
      <c r="G70" s="3">
        <f t="shared" si="2"/>
        <v>3</v>
      </c>
      <c r="M70" s="17">
        <v>0</v>
      </c>
      <c r="U70" t="str">
        <f t="shared" si="3"/>
        <v>L69@schule.de</v>
      </c>
    </row>
    <row r="71" spans="1:21">
      <c r="A71" t="s">
        <v>152</v>
      </c>
      <c r="B71" t="s">
        <v>207</v>
      </c>
      <c r="C71">
        <v>9</v>
      </c>
      <c r="D71" t="s">
        <v>468</v>
      </c>
      <c r="F71" s="11">
        <v>22351</v>
      </c>
      <c r="G71" s="3">
        <f t="shared" si="2"/>
        <v>1.0588235294117647</v>
      </c>
      <c r="M71" s="17">
        <v>0</v>
      </c>
      <c r="U71" t="str">
        <f t="shared" si="3"/>
        <v>L70@schule.de</v>
      </c>
    </row>
    <row r="72" spans="1:21">
      <c r="A72" t="s">
        <v>153</v>
      </c>
      <c r="B72" t="s">
        <v>207</v>
      </c>
      <c r="C72">
        <v>25.5</v>
      </c>
      <c r="D72" t="s">
        <v>469</v>
      </c>
      <c r="F72" s="11">
        <v>22352</v>
      </c>
      <c r="G72" s="3">
        <f t="shared" si="2"/>
        <v>3</v>
      </c>
      <c r="M72" s="17">
        <v>0</v>
      </c>
      <c r="U72" t="str">
        <f t="shared" si="3"/>
        <v>L71@schule.de</v>
      </c>
    </row>
    <row r="73" spans="1:21">
      <c r="A73" t="s">
        <v>154</v>
      </c>
      <c r="B73" t="s">
        <v>207</v>
      </c>
      <c r="C73">
        <v>0</v>
      </c>
      <c r="D73" t="s">
        <v>470</v>
      </c>
      <c r="F73" s="11">
        <v>22353</v>
      </c>
      <c r="G73" s="3">
        <f t="shared" si="2"/>
        <v>0</v>
      </c>
      <c r="M73" s="17">
        <v>0</v>
      </c>
      <c r="U73" t="str">
        <f t="shared" si="3"/>
        <v>L72@schule.de</v>
      </c>
    </row>
    <row r="74" spans="1:21">
      <c r="A74" t="s">
        <v>155</v>
      </c>
      <c r="B74" t="s">
        <v>207</v>
      </c>
      <c r="C74">
        <v>13</v>
      </c>
      <c r="D74" t="s">
        <v>471</v>
      </c>
      <c r="F74" s="11">
        <v>22354</v>
      </c>
      <c r="G74" s="3">
        <f t="shared" si="2"/>
        <v>1.5294117647058822</v>
      </c>
      <c r="M74" s="17">
        <v>0</v>
      </c>
      <c r="U74" t="str">
        <f t="shared" si="3"/>
        <v>L73@schule.de</v>
      </c>
    </row>
    <row r="75" spans="1:21">
      <c r="A75" t="s">
        <v>156</v>
      </c>
      <c r="B75" t="s">
        <v>207</v>
      </c>
      <c r="C75">
        <v>19</v>
      </c>
      <c r="D75" t="s">
        <v>472</v>
      </c>
      <c r="F75" s="11">
        <v>22355</v>
      </c>
      <c r="G75" s="3">
        <f t="shared" si="2"/>
        <v>2.2352941176470589</v>
      </c>
      <c r="M75" s="17">
        <v>0</v>
      </c>
      <c r="U75" t="str">
        <f t="shared" si="3"/>
        <v>L74@schule.de</v>
      </c>
    </row>
    <row r="76" spans="1:21">
      <c r="A76" t="s">
        <v>157</v>
      </c>
      <c r="B76" t="s">
        <v>207</v>
      </c>
      <c r="C76">
        <v>12.75</v>
      </c>
      <c r="D76" t="s">
        <v>473</v>
      </c>
      <c r="F76" s="11">
        <v>22356</v>
      </c>
      <c r="G76" s="3">
        <f t="shared" si="2"/>
        <v>1.5</v>
      </c>
      <c r="M76" s="17">
        <v>0</v>
      </c>
      <c r="U76" t="str">
        <f t="shared" si="3"/>
        <v>L75@schule.de</v>
      </c>
    </row>
    <row r="77" spans="1:21">
      <c r="A77" t="s">
        <v>158</v>
      </c>
      <c r="B77" t="s">
        <v>207</v>
      </c>
      <c r="C77">
        <v>16.5</v>
      </c>
      <c r="D77" t="s">
        <v>474</v>
      </c>
      <c r="F77" s="11">
        <v>22357</v>
      </c>
      <c r="G77" s="3">
        <f t="shared" si="2"/>
        <v>1.9411764705882355</v>
      </c>
      <c r="M77" s="17">
        <v>0</v>
      </c>
      <c r="U77" t="str">
        <f t="shared" si="3"/>
        <v>L76@schule.de</v>
      </c>
    </row>
    <row r="78" spans="1:21">
      <c r="A78" t="s">
        <v>159</v>
      </c>
      <c r="B78" t="s">
        <v>207</v>
      </c>
      <c r="C78">
        <v>25.5</v>
      </c>
      <c r="D78" t="s">
        <v>475</v>
      </c>
      <c r="F78" s="11">
        <v>22358</v>
      </c>
      <c r="G78" s="3">
        <f t="shared" si="2"/>
        <v>3</v>
      </c>
      <c r="M78" s="17">
        <v>0</v>
      </c>
      <c r="U78" t="str">
        <f t="shared" si="3"/>
        <v>L77@schule.de</v>
      </c>
    </row>
    <row r="79" spans="1:21">
      <c r="A79" t="s">
        <v>160</v>
      </c>
      <c r="B79" t="s">
        <v>207</v>
      </c>
      <c r="C79">
        <v>25</v>
      </c>
      <c r="D79" t="s">
        <v>476</v>
      </c>
      <c r="F79" s="11">
        <v>22359</v>
      </c>
      <c r="G79" s="3">
        <f t="shared" si="2"/>
        <v>2.9411764705882351</v>
      </c>
      <c r="M79" s="17">
        <v>0</v>
      </c>
      <c r="U79" t="str">
        <f t="shared" si="3"/>
        <v>L78@schule.de</v>
      </c>
    </row>
    <row r="80" spans="1:21">
      <c r="A80" t="s">
        <v>161</v>
      </c>
      <c r="B80" t="s">
        <v>207</v>
      </c>
      <c r="C80">
        <v>16</v>
      </c>
      <c r="D80" t="s">
        <v>477</v>
      </c>
      <c r="F80" s="11">
        <v>22360</v>
      </c>
      <c r="G80" s="3">
        <f t="shared" si="2"/>
        <v>1.8823529411764706</v>
      </c>
      <c r="M80" s="17">
        <v>0</v>
      </c>
      <c r="U80" t="str">
        <f t="shared" si="3"/>
        <v>L79@schule.de</v>
      </c>
    </row>
    <row r="81" spans="1:21">
      <c r="A81" t="s">
        <v>162</v>
      </c>
      <c r="B81" t="s">
        <v>207</v>
      </c>
      <c r="C81">
        <v>9</v>
      </c>
      <c r="D81" t="s">
        <v>478</v>
      </c>
      <c r="F81" s="11">
        <v>22361</v>
      </c>
      <c r="G81" s="3">
        <f t="shared" si="2"/>
        <v>1.0588235294117647</v>
      </c>
      <c r="M81" s="17">
        <v>0</v>
      </c>
      <c r="U81" t="str">
        <f t="shared" si="3"/>
        <v>L80@schule.de</v>
      </c>
    </row>
    <row r="82" spans="1:21">
      <c r="A82" t="s">
        <v>163</v>
      </c>
      <c r="B82" t="s">
        <v>207</v>
      </c>
      <c r="C82">
        <v>25.5</v>
      </c>
      <c r="D82" t="s">
        <v>479</v>
      </c>
      <c r="F82" s="11">
        <v>22362</v>
      </c>
      <c r="G82" s="3">
        <f t="shared" si="2"/>
        <v>3</v>
      </c>
      <c r="M82" s="17">
        <v>0</v>
      </c>
      <c r="U82" t="str">
        <f t="shared" si="3"/>
        <v>L81@schule.de</v>
      </c>
    </row>
    <row r="83" spans="1:21">
      <c r="A83" t="s">
        <v>164</v>
      </c>
      <c r="B83" t="s">
        <v>207</v>
      </c>
      <c r="C83">
        <v>25.5</v>
      </c>
      <c r="D83" t="s">
        <v>480</v>
      </c>
      <c r="F83" s="11">
        <v>22363</v>
      </c>
      <c r="G83" s="3">
        <f t="shared" si="2"/>
        <v>3</v>
      </c>
      <c r="M83" s="17">
        <v>0</v>
      </c>
      <c r="U83" t="str">
        <f t="shared" si="3"/>
        <v>L82@schule.de</v>
      </c>
    </row>
    <row r="84" spans="1:21">
      <c r="A84" t="s">
        <v>165</v>
      </c>
      <c r="B84" t="s">
        <v>212</v>
      </c>
      <c r="C84">
        <v>25.5</v>
      </c>
      <c r="D84" t="s">
        <v>481</v>
      </c>
      <c r="F84" s="11">
        <v>22364</v>
      </c>
      <c r="G84" s="3">
        <f t="shared" si="2"/>
        <v>3</v>
      </c>
      <c r="M84" s="17">
        <v>0</v>
      </c>
      <c r="U84" t="str">
        <f t="shared" si="3"/>
        <v>L83@schule.de</v>
      </c>
    </row>
    <row r="85" spans="1:21">
      <c r="A85" t="s">
        <v>166</v>
      </c>
      <c r="B85" t="s">
        <v>207</v>
      </c>
      <c r="C85">
        <v>25.5</v>
      </c>
      <c r="D85" t="s">
        <v>482</v>
      </c>
      <c r="F85" s="11">
        <v>22365</v>
      </c>
      <c r="G85" s="3">
        <f t="shared" si="2"/>
        <v>3</v>
      </c>
      <c r="M85" s="17">
        <v>0</v>
      </c>
      <c r="U85" t="str">
        <f t="shared" si="3"/>
        <v>L84@schule.de</v>
      </c>
    </row>
    <row r="86" spans="1:21">
      <c r="A86" t="s">
        <v>167</v>
      </c>
      <c r="B86" t="s">
        <v>207</v>
      </c>
      <c r="C86">
        <v>20</v>
      </c>
      <c r="D86" t="s">
        <v>483</v>
      </c>
      <c r="F86" s="11">
        <v>22366</v>
      </c>
      <c r="G86" s="3">
        <f t="shared" si="2"/>
        <v>2.3529411764705883</v>
      </c>
      <c r="M86" s="17">
        <v>0</v>
      </c>
      <c r="U86" t="str">
        <f t="shared" si="3"/>
        <v>L85@schule.de</v>
      </c>
    </row>
    <row r="87" spans="1:21">
      <c r="A87" t="s">
        <v>168</v>
      </c>
      <c r="B87" t="s">
        <v>207</v>
      </c>
      <c r="C87">
        <v>25.5</v>
      </c>
      <c r="D87" t="s">
        <v>484</v>
      </c>
      <c r="F87" s="11">
        <v>22367</v>
      </c>
      <c r="G87" s="3">
        <f t="shared" si="2"/>
        <v>3</v>
      </c>
      <c r="M87" s="17">
        <v>0</v>
      </c>
      <c r="U87" t="str">
        <f t="shared" si="3"/>
        <v>L86@schule.de</v>
      </c>
    </row>
    <row r="88" spans="1:21">
      <c r="A88" t="s">
        <v>169</v>
      </c>
      <c r="B88" t="s">
        <v>207</v>
      </c>
      <c r="C88">
        <v>16</v>
      </c>
      <c r="D88" t="s">
        <v>485</v>
      </c>
      <c r="F88" s="11">
        <v>22368</v>
      </c>
      <c r="G88" s="3">
        <f t="shared" si="2"/>
        <v>1.8823529411764706</v>
      </c>
      <c r="M88" s="17">
        <v>0</v>
      </c>
      <c r="U88" t="str">
        <f t="shared" si="3"/>
        <v>L87@schule.de</v>
      </c>
    </row>
    <row r="89" spans="1:21">
      <c r="A89" t="s">
        <v>170</v>
      </c>
      <c r="B89" t="s">
        <v>207</v>
      </c>
      <c r="C89">
        <v>25.5</v>
      </c>
      <c r="D89" t="s">
        <v>486</v>
      </c>
      <c r="F89" s="11">
        <v>22369</v>
      </c>
      <c r="G89" s="3">
        <f t="shared" si="2"/>
        <v>3</v>
      </c>
      <c r="M89" s="17">
        <v>0</v>
      </c>
      <c r="U89" t="str">
        <f t="shared" si="3"/>
        <v>L88@schule.de</v>
      </c>
    </row>
    <row r="90" spans="1:21">
      <c r="A90" t="s">
        <v>171</v>
      </c>
      <c r="B90" t="s">
        <v>207</v>
      </c>
      <c r="C90">
        <v>21.5</v>
      </c>
      <c r="D90" t="s">
        <v>487</v>
      </c>
      <c r="F90" s="11">
        <v>22370</v>
      </c>
      <c r="G90" s="3">
        <f t="shared" si="2"/>
        <v>2.5294117647058822</v>
      </c>
      <c r="M90" s="17">
        <v>0</v>
      </c>
      <c r="U90" t="str">
        <f t="shared" si="3"/>
        <v>L89@schule.de</v>
      </c>
    </row>
    <row r="91" spans="1:21">
      <c r="A91" t="s">
        <v>172</v>
      </c>
      <c r="C91">
        <v>8</v>
      </c>
      <c r="D91" t="s">
        <v>488</v>
      </c>
      <c r="F91" s="11">
        <v>22371</v>
      </c>
      <c r="G91" s="3">
        <f t="shared" si="2"/>
        <v>0.94117647058823528</v>
      </c>
      <c r="M91" s="17">
        <v>0</v>
      </c>
      <c r="U91" t="str">
        <f t="shared" si="3"/>
        <v>L90@schule.de</v>
      </c>
    </row>
    <row r="92" spans="1:21">
      <c r="A92" t="s">
        <v>173</v>
      </c>
      <c r="C92">
        <v>7.5</v>
      </c>
      <c r="D92" t="s">
        <v>489</v>
      </c>
      <c r="F92" s="11">
        <v>22372</v>
      </c>
      <c r="G92" s="3">
        <f t="shared" si="2"/>
        <v>0.88235294117647056</v>
      </c>
      <c r="M92" s="17">
        <v>0</v>
      </c>
      <c r="U92" t="str">
        <f t="shared" si="3"/>
        <v>L91@schule.de</v>
      </c>
    </row>
    <row r="93" spans="1:21">
      <c r="A93" t="s">
        <v>174</v>
      </c>
      <c r="B93" t="s">
        <v>207</v>
      </c>
      <c r="C93">
        <v>9</v>
      </c>
      <c r="D93" t="s">
        <v>490</v>
      </c>
      <c r="F93" s="11">
        <v>22373</v>
      </c>
      <c r="G93" s="3">
        <f t="shared" si="2"/>
        <v>1.0588235294117647</v>
      </c>
      <c r="M93" s="17">
        <v>0</v>
      </c>
      <c r="U93" t="str">
        <f t="shared" si="3"/>
        <v>L92@schule.de</v>
      </c>
    </row>
    <row r="94" spans="1:21">
      <c r="A94" t="s">
        <v>175</v>
      </c>
      <c r="B94" t="s">
        <v>207</v>
      </c>
      <c r="C94">
        <v>18</v>
      </c>
      <c r="D94" t="s">
        <v>491</v>
      </c>
      <c r="F94" s="11">
        <v>22374</v>
      </c>
      <c r="G94" s="3">
        <f t="shared" si="2"/>
        <v>2.1176470588235294</v>
      </c>
      <c r="M94" s="17">
        <v>0</v>
      </c>
      <c r="U94" t="str">
        <f t="shared" si="3"/>
        <v>L93@schule.de</v>
      </c>
    </row>
    <row r="95" spans="1:21">
      <c r="A95" t="s">
        <v>176</v>
      </c>
      <c r="B95" t="s">
        <v>207</v>
      </c>
      <c r="C95">
        <v>25.5</v>
      </c>
      <c r="D95" t="s">
        <v>492</v>
      </c>
      <c r="F95" s="11">
        <v>22375</v>
      </c>
      <c r="G95" s="3">
        <f t="shared" si="2"/>
        <v>3</v>
      </c>
      <c r="M95" s="17">
        <v>0</v>
      </c>
      <c r="U95" t="str">
        <f t="shared" si="3"/>
        <v>L94@schule.de</v>
      </c>
    </row>
  </sheetData>
  <phoneticPr fontId="1" type="noConversion"/>
  <pageMargins left="0.7" right="0.7" top="0.78740157499999996" bottom="0.78740157499999996" header="0.3" footer="0.3"/>
  <pageSetup paperSize="9" orientation="portrait" horizontalDpi="300" verticalDpi="300" copies="3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BVZusammenfassen">
                <anchor moveWithCells="1" sizeWithCells="1">
                  <from>
                    <xdr:col>15</xdr:col>
                    <xdr:colOff>542925</xdr:colOff>
                    <xdr:row>0</xdr:row>
                    <xdr:rowOff>638175</xdr:rowOff>
                  </from>
                  <to>
                    <xdr:col>17</xdr:col>
                    <xdr:colOff>381000</xdr:colOff>
                    <xdr:row>0</xdr:row>
                    <xdr:rowOff>1095375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hrarbeitPDFsVersendenSMTP">
                <anchor moveWithCells="1" sizeWithCells="1">
                  <from>
                    <xdr:col>19</xdr:col>
                    <xdr:colOff>514350</xdr:colOff>
                    <xdr:row>0</xdr:row>
                    <xdr:rowOff>314325</xdr:rowOff>
                  </from>
                  <to>
                    <xdr:col>21</xdr:col>
                    <xdr:colOff>504825</xdr:colOff>
                    <xdr:row>0</xdr:row>
                    <xdr:rowOff>1095375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ehrarbeitPDFsVersenden">
                <anchor moveWithCells="1" sizeWithCells="1">
                  <from>
                    <xdr:col>22</xdr:col>
                    <xdr:colOff>180975</xdr:colOff>
                    <xdr:row>0</xdr:row>
                    <xdr:rowOff>390525</xdr:rowOff>
                  </from>
                  <to>
                    <xdr:col>24</xdr:col>
                    <xdr:colOff>361950</xdr:colOff>
                    <xdr:row>0</xdr:row>
                    <xdr:rowOff>1190625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Tabelle1</vt:lpstr>
      <vt:lpstr>Informationen</vt:lpstr>
      <vt:lpstr>Pseudonyme</vt:lpstr>
      <vt:lpstr>Übersicht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Ansgar Lerner</cp:lastModifiedBy>
  <cp:lastPrinted>2026-10-16T19:31:36Z</cp:lastPrinted>
  <dcterms:created xsi:type="dcterms:W3CDTF">2026-05-12T10:08:04Z</dcterms:created>
  <dcterms:modified xsi:type="dcterms:W3CDTF">2026-10-16T19:33:24Z</dcterms:modified>
</cp:coreProperties>
</file>